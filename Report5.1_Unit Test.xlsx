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line" sheetId="1" r:id="rId4"/>
    <sheet state="visible" name="Cover" sheetId="2" r:id="rId5"/>
    <sheet state="visible" name="MethodList" sheetId="3" r:id="rId6"/>
    <sheet state="visible" name="Statistics" sheetId="4" r:id="rId7"/>
    <sheet state="visible" name="methodName1" sheetId="5" r:id="rId8"/>
    <sheet state="visible" name="Sheet1" sheetId="6" r:id="rId9"/>
    <sheet state="visible" name="methodName2" sheetId="7" r:id="rId10"/>
    <sheet state="visible" name="Example" sheetId="8" r:id="rId11"/>
  </sheets>
  <definedNames>
    <definedName localSheetId="4" name="Z_BE54E0AD_3725_4423_92D7_4F1C045BE1BC_.wvu.Cols">methodName1!$E:$E</definedName>
    <definedName localSheetId="4" name="Z_6F1DCD5D_5DAC_4817_BF40_2B66F6F593E6_.wvu.Cols">methodName1!$E:$E</definedName>
    <definedName localSheetId="3" name="Z_6F1DCD5D_5DAC_4817_BF40_2B66F6F593E6_.wvu.PrintArea">Statistics!$A:$I</definedName>
    <definedName localSheetId="4" name="Z_2C0D9096_8D85_462A_A9B5_0B488ADB4269_.wvu.Cols">methodName1!$E:$E</definedName>
    <definedName name="ACTION">#REF!</definedName>
    <definedName localSheetId="6" name="Z_BE54E0AD_3725_4423_92D7_4F1C045BE1BC_.wvu.Cols">methodName2!$E:$E</definedName>
    <definedName localSheetId="3" name="Z_2C0D9096_8D85_462A_A9B5_0B488ADB4269_.wvu.PrintArea">Statistics!$A:$I</definedName>
    <definedName localSheetId="6" name="Z_2C0D9096_8D85_462A_A9B5_0B488ADB4269_.wvu.Cols">methodName2!$E:$E</definedName>
    <definedName localSheetId="3" name="Z_BE54E0AD_3725_4423_92D7_4F1C045BE1BC_.wvu.PrintArea">Statistics!$A:$I</definedName>
    <definedName localSheetId="6" name="Z_6F1DCD5D_5DAC_4817_BF40_2B66F6F593E6_.wvu.Cols">methodName2!$E:$E</definedName>
  </definedNames>
  <calcPr/>
  <extLst>
    <ext uri="GoogleSheetsCustomDataVersion2">
      <go:sheetsCustomData xmlns:go="http://customooxmlschemas.google.com/" r:id="rId12" roundtripDataChecksum="UPQYzQ0ykcRjnQYSRiSedD8WJQh7Tjb16Ysgu2knW+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======
ID#AAAB0EHxPpk
    (2026-02-10 07:39:24)
*A: Add
  M: Modify
  D: Delete</t>
      </text>
    </comment>
  </commentList>
  <extLst>
    <ext uri="GoogleSheetsCustomDataVersion2">
      <go:sheetsCustomData xmlns:go="http://customooxmlschemas.google.com/" r:id="rId1" roundtripDataSignature="AMtx7mgiU6PNydIaV1LrXUy92HsjK9RAR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">
      <text>
        <t xml:space="preserve">======
ID#AAAB0EHxPpw
ANa    (2026-02-10 07:39:24)
Not mandatory</t>
      </text>
    </comment>
    <comment authorId="0" ref="A3">
      <text>
        <t xml:space="preserve">======
ID#AAAB0EHxPpg
Nguyen Hoang Anh    (2026-02-10 07:39:24)
Not mandatory</t>
      </text>
    </comment>
  </commentList>
  <extLst>
    <ext uri="GoogleSheetsCustomDataVersion2">
      <go:sheetsCustomData xmlns:go="http://customooxmlschemas.google.com/" r:id="rId1" roundtripDataSignature="AMtx7mglsbtVMNE3sgUQ1YcZYrXfCbNqh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">
      <text>
        <t xml:space="preserve">======
ID#AAAB0EHxPps
ANa    (2026-02-10 07:39:24)
Not mandatory</t>
      </text>
    </comment>
    <comment authorId="0" ref="A3">
      <text>
        <t xml:space="preserve">======
ID#AAAB0EHxPp0
Nguyen Hoang Anh    (2026-02-10 07:39:24)
Not mandatory</t>
      </text>
    </comment>
  </commentList>
  <extLst>
    <ext uri="GoogleSheetsCustomDataVersion2">
      <go:sheetsCustomData xmlns:go="http://customooxmlschemas.google.com/" r:id="rId1" roundtripDataSignature="AMtx7mhw0eAo97zOcPL6pscFPeXq4igGR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======
ID#AAAB0EHxPp4
Nguyen Hoang Anh    (2026-02-10 07:39:24)
Not mandatory</t>
      </text>
    </comment>
    <comment authorId="0" ref="C8">
      <text>
        <t xml:space="preserve">======
ID#AAAB0EHxPpo
ANa    (2026-02-10 07:39:24)
Not mandatory</t>
      </text>
    </comment>
  </commentList>
  <extLst>
    <ext uri="GoogleSheetsCustomDataVersion2">
      <go:sheetsCustomData xmlns:go="http://customooxmlschemas.google.com/" r:id="rId1" roundtripDataSignature="AMtx7mjBWnvpSIvjthx+v2hIi0mEBq3/Dw=="/>
    </ext>
  </extLst>
</comments>
</file>

<file path=xl/sharedStrings.xml><?xml version="1.0" encoding="utf-8"?>
<sst xmlns="http://schemas.openxmlformats.org/spreadsheetml/2006/main" count="423" uniqueCount="196">
  <si>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</si>
  <si>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</si>
  <si>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</si>
  <si>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Cover</t>
    </r>
    <r>
      <rPr>
        <rFont val="Tahoma"/>
        <color theme="1"/>
        <sz val="10.0"/>
      </rPr>
      <t>: General information of the project and Unit Test cases</t>
    </r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</si>
  <si>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FunctionList</t>
    </r>
    <r>
      <rPr>
        <rFont val="Tahoma"/>
        <color theme="1"/>
        <sz val="10.0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</si>
  <si>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r>
      <rPr>
        <rFont val="Tahoma"/>
        <color theme="1"/>
        <sz val="10.0"/>
      </rPr>
      <t xml:space="preserve">     + Click on Function link to open the related Test cases of the function.  
     </t>
    </r>
    <r>
      <rPr>
        <rFont val="Tahoma"/>
        <i/>
        <color theme="1"/>
        <sz val="10.0"/>
      </rPr>
      <t>Note:</t>
    </r>
    <r>
      <rPr>
        <rFont val="Tahoma"/>
        <color theme="1"/>
        <sz val="10.0"/>
      </rPr>
      <t xml:space="preserve"> You should create new Function sheet before creating the link</t>
    </r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</si>
  <si>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Test Report</t>
    </r>
    <r>
      <rPr>
        <rFont val="Tahoma"/>
        <color theme="1"/>
        <sz val="10.0"/>
      </rPr>
      <t>: provive the overview results of Functions Unit test: Test coverage, Test successful coverage 
    (Summary, for normal/abnormal/boundary cases)</t>
    </r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</si>
  <si>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</si>
  <si>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</si>
  <si>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</si>
  <si>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</si>
  <si>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</si>
  <si>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</si>
  <si>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</si>
  <si>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</si>
  <si>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</si>
  <si>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</si>
  <si>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</si>
  <si>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</si>
  <si>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</si>
  <si>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</si>
  <si>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</si>
  <si>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</si>
  <si>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</si>
  <si>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</si>
  <si>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</si>
  <si>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</si>
  <si>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</si>
  <si>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</si>
  <si>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</si>
  <si>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</si>
  <si>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</si>
  <si>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</si>
  <si>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</si>
  <si>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</si>
  <si>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</si>
  <si>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r>
      <rPr>
        <rFont val="Tahoma"/>
        <color theme="1"/>
        <sz val="10.0"/>
      </rPr>
      <t xml:space="preserve">        - Test case result: the actual output results comparing with the Confirmation.
                 </t>
    </r>
    <r>
      <rPr>
        <rFont val="Tahoma"/>
        <b/>
        <color theme="1"/>
        <sz val="10.0"/>
      </rPr>
      <t>P</t>
    </r>
    <r>
      <rPr>
        <rFont val="Tahoma"/>
        <color theme="1"/>
        <sz val="10.0"/>
      </rPr>
      <t xml:space="preserve"> for Passed and </t>
    </r>
    <r>
      <rPr>
        <rFont val="Tahoma"/>
        <b/>
        <color theme="1"/>
        <sz val="10.0"/>
      </rPr>
      <t>F</t>
    </r>
    <r>
      <rPr>
        <rFont val="Tahoma"/>
        <color theme="1"/>
        <sz val="10.0"/>
      </rPr>
      <t xml:space="preserve"> for Failed cases.
          It can 'OK' or 'NG' (it depends on habit of the teams or customers)</t>
    </r>
  </si>
  <si>
    <t xml:space="preserve"> 2.3. Other items:</t>
  </si>
  <si>
    <t xml:space="preserve"> - Code Module: name of the code module and updated automatically according to FunctionList sheet.</t>
  </si>
  <si>
    <t xml:space="preserve"> - Method: it is name  of the code method/component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</si>
  <si>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</si>
  <si>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</si>
  <si>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Test requirement: Brief description about requirements which are tested in this function, it is not mandatory.</t>
  </si>
  <si>
    <t xml:space="preserve">         </t>
  </si>
  <si>
    <t>UNIT TEST DOCUMENT</t>
  </si>
  <si>
    <t>Project Name</t>
  </si>
  <si>
    <t>&lt;Project Name&gt;</t>
  </si>
  <si>
    <t>Creator</t>
  </si>
  <si>
    <t>Project Code</t>
  </si>
  <si>
    <t>&lt;Project Code&gt;</t>
  </si>
  <si>
    <t>Issue Date</t>
  </si>
  <si>
    <t>&lt;Date when this test report is created&gt;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</si>
  <si>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</si>
  <si>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</si>
  <si>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</si>
  <si>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</si>
  <si>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</si>
  <si>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</si>
  <si>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</si>
  <si>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</si>
  <si>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</si>
  <si>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</si>
  <si>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Method List</t>
  </si>
  <si>
    <t>Test Environment Setup Description</t>
  </si>
  <si>
    <t>&lt;List enviroment requires in this system
1. Server
2. Database
3. Web Browser
...
&gt;</t>
  </si>
  <si>
    <t>No</t>
  </si>
  <si>
    <t>Module Name</t>
  </si>
  <si>
    <t>Method Name</t>
  </si>
  <si>
    <t>Sheet Name</t>
  </si>
  <si>
    <t>Description</t>
  </si>
  <si>
    <t>Pre-Condition</t>
  </si>
  <si>
    <t>ModuleName1</t>
  </si>
  <si>
    <t>methodName1</t>
  </si>
  <si>
    <t>ModuleName2</t>
  </si>
  <si>
    <t>methodName2</t>
  </si>
  <si>
    <t>UNIT TEST REPORT</t>
  </si>
  <si>
    <t>Reviewer/Approver</t>
  </si>
  <si>
    <t>Notes</t>
  </si>
  <si>
    <t>&lt;List modules included in this release&gt; ex: Release 1 includes 2 modules: Module1 and Module2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</si>
  <si>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</si>
  <si>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</si>
  <si>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</si>
  <si>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</si>
  <si>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</si>
  <si>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</si>
  <si>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</si>
  <si>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</si>
  <si>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</si>
  <si>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</si>
  <si>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</si>
  <si>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</si>
  <si>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</si>
  <si>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</si>
  <si>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</si>
  <si>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Code Module</t>
  </si>
  <si>
    <t>Method</t>
  </si>
  <si>
    <t>Created By</t>
  </si>
  <si>
    <t>&lt;Developer Name&gt;</t>
  </si>
  <si>
    <t>Executed By</t>
  </si>
  <si>
    <t>Test requirement</t>
  </si>
  <si>
    <t>&lt;Brief description about requirements which are tested in this function&gt;</t>
  </si>
  <si>
    <t>N/A/B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</si>
  <si>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</si>
  <si>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</si>
  <si>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</si>
  <si>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</si>
  <si>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</si>
  <si>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</si>
  <si>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</si>
  <si>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</si>
  <si>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</si>
  <si>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</si>
  <si>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</si>
  <si>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</si>
  <si>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</si>
  <si>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</si>
  <si>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</si>
  <si>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Condition</t>
  </si>
  <si>
    <t>Precondition</t>
  </si>
  <si>
    <t>Can connect with server</t>
  </si>
  <si>
    <t>O</t>
  </si>
  <si>
    <t>(type)</t>
  </si>
  <si>
    <t xml:space="preserve">valid object	</t>
  </si>
  <si>
    <t>null</t>
  </si>
  <si>
    <t xml:space="preserve">"string" (not an object)	</t>
  </si>
  <si>
    <t>p.name</t>
  </si>
  <si>
    <t xml:space="preserve">"Profile A" (normal)	</t>
  </si>
  <si>
    <t xml:space="preserve">"A" (1 character)	</t>
  </si>
  <si>
    <t xml:space="preserve">"A"×120 (120 characters)	</t>
  </si>
  <si>
    <t>""</t>
  </si>
  <si>
    <t xml:space="preserve">"A"×121 (121 characters)	</t>
  </si>
  <si>
    <t>"p"</t>
  </si>
  <si>
    <t>p.startUrl</t>
  </si>
  <si>
    <t>(not provided)</t>
  </si>
  <si>
    <t xml:space="preserve">"unknown" (invalid value)	</t>
  </si>
  <si>
    <t>p.fingerprint.browser</t>
  </si>
  <si>
    <t xml:space="preserve">(not provided)	</t>
  </si>
  <si>
    <t xml:space="preserve">"Safari" (unsupported value)	</t>
  </si>
  <si>
    <t>p.settings.engine</t>
  </si>
  <si>
    <t>p.settings.cpuCores</t>
  </si>
  <si>
    <t xml:space="preserve">0 (below min)	</t>
  </si>
  <si>
    <t xml:space="preserve">65 (above max)	</t>
  </si>
  <si>
    <t xml:space="preserve">1 (min boundary)	</t>
  </si>
  <si>
    <t xml:space="preserve">64 (max boundary)	</t>
  </si>
  <si>
    <t>p.settings.memoryGB</t>
  </si>
  <si>
    <t xml:space="preserve">257 (above max)	</t>
  </si>
  <si>
    <t>Confirm</t>
  </si>
  <si>
    <t>Return</t>
  </si>
  <si>
    <t>[] (no errors)</t>
  </si>
  <si>
    <t xml:space="preserve">['Payload must be object']	</t>
  </si>
  <si>
    <t xml:space="preserve">['Name is required']	</t>
  </si>
  <si>
    <t xml:space="preserve">['Name too long (&gt;120 chars)']	</t>
  </si>
  <si>
    <t xml:space="preserve">['startUrl must be http/https URL']	</t>
  </si>
  <si>
    <t xml:space="preserve">['Unsupported browser value']	</t>
  </si>
  <si>
    <t xml:space="preserve">['settings.engine must be playwright, 
playwright-firefox, camoufox, cdp, or auto']        </t>
  </si>
  <si>
    <t xml:space="preserve">['cpuCores must be 1-64']	</t>
  </si>
  <si>
    <t xml:space="preserve">['memoryGB must be 1-256']	</t>
  </si>
  <si>
    <t>Exception</t>
  </si>
  <si>
    <t xml:space="preserve">        </t>
  </si>
  <si>
    <t>Log message</t>
  </si>
  <si>
    <t>Result</t>
  </si>
  <si>
    <t>Type(N : Normal, A : Abnormal, B : Boundary)</t>
  </si>
  <si>
    <t>Passed/Failed</t>
  </si>
  <si>
    <t>P</t>
  </si>
  <si>
    <t>Executed Date</t>
  </si>
  <si>
    <t>02/22</t>
  </si>
  <si>
    <t>Defect ID</t>
  </si>
  <si>
    <t>DFID002</t>
  </si>
  <si>
    <t>DFID004</t>
  </si>
  <si>
    <t xml:space="preserve">Precondition </t>
  </si>
  <si>
    <t>Input1</t>
  </si>
  <si>
    <t>"1"</t>
  </si>
  <si>
    <t>Input2</t>
  </si>
  <si>
    <t>&gt;=5 &amp; &lt;= 10</t>
  </si>
  <si>
    <t>"success"</t>
  </si>
  <si>
    <t>"input1 is null"</t>
  </si>
  <si>
    <t>F</t>
  </si>
  <si>
    <t>DFID005</t>
  </si>
  <si>
    <t>DFID006</t>
  </si>
  <si>
    <t>DFID007</t>
  </si>
  <si>
    <t>DFID008</t>
  </si>
  <si>
    <t>DFID009</t>
  </si>
  <si>
    <t>DFID010</t>
  </si>
  <si>
    <t>DFID011</t>
  </si>
  <si>
    <t>DFID012</t>
  </si>
  <si>
    <t>ModuleName</t>
  </si>
  <si>
    <t>methodName</t>
  </si>
  <si>
    <t>a</t>
  </si>
  <si>
    <t>b</t>
  </si>
  <si>
    <t>c</t>
  </si>
  <si>
    <t xml:space="preserve">list </t>
  </si>
  <si>
    <t>size = 0</t>
  </si>
  <si>
    <t>{-1/2}</t>
  </si>
  <si>
    <t>{1,1}</t>
  </si>
  <si>
    <t>{1,-3}</t>
  </si>
  <si>
    <t>"please input a&gt;= -1"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</si>
</sst>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\-mmm\-yy"/>
    <numFmt numFmtId="165" formatCode="D/M/YYYY"/>
    <numFmt numFmtId="166" formatCode="mm/dd"/>
  </numFmts>
  <fonts count="35">
    <font>
      <sz val="11.0"/>
      <color rgb="FF000000"/>
      <name val="MS PGothic"/>
      <scheme val="minor"/>
    </font>
    <font>
      <b/>
      <sz val="18.0"/>
      <color theme="1"/>
      <name val="Tahoma"/>
    </font>
    <font>
      <b/>
      <sz val="11.0"/>
      <color theme="1"/>
      <name val="Tahoma"/>
    </font>
    <font>
      <b/>
      <sz val="12.0"/>
      <color theme="1"/>
      <name val="Tahoma"/>
    </font>
    <font>
      <b/>
      <sz val="14.0"/>
      <color theme="1"/>
      <name val="Tahoma"/>
    </font>
    <font>
      <sz val="10.0"/>
      <color theme="1"/>
      <name val="Tahoma"/>
    </font>
    <font>
      <sz val="11.0"/>
      <color theme="1"/>
      <name val="Tahoma"/>
    </font>
    <font>
      <i/>
      <sz val="10.0"/>
      <color theme="1"/>
      <name val="Tahoma"/>
    </font>
    <font>
      <i/>
      <sz val="11.0"/>
      <color theme="1"/>
      <name val="Tahoma"/>
    </font>
    <font>
      <b/>
      <sz val="10.0"/>
      <color theme="1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FFFF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u/>
      <sz val="11.0"/>
      <color rgb="FF0000FF"/>
      <name val="MS PGothic"/>
    </font>
    <font>
      <u/>
      <sz val="10.0"/>
      <color rgb="FF0000FF"/>
      <name val="Tahoma"/>
    </font>
    <font>
      <u/>
      <sz val="11.0"/>
      <color rgb="FF0000FF"/>
      <name val="Tahoma"/>
    </font>
    <font>
      <sz val="10.0"/>
      <color rgb="FFFFFFFF"/>
      <name val="Tahoma"/>
    </font>
    <font>
      <b/>
      <sz val="11.0"/>
      <color rgb="FFFFFFFF"/>
      <name val="Tahoma"/>
    </font>
    <font>
      <sz val="10.0"/>
      <color rgb="FF000000"/>
      <name val="Tahoma"/>
    </font>
    <font>
      <b/>
      <sz val="8.0"/>
      <color theme="1"/>
      <name val="Tahoma"/>
    </font>
    <font>
      <i/>
      <sz val="8.0"/>
      <color theme="1"/>
      <name val="Tahoma"/>
    </font>
    <font>
      <sz val="8.0"/>
      <color theme="1"/>
      <name val="Tahoma"/>
    </font>
    <font>
      <sz val="11.0"/>
      <color theme="1"/>
      <name val="MS PGothic"/>
    </font>
    <font>
      <b/>
      <sz val="8.0"/>
      <color rgb="FFFFFFFF"/>
      <name val="Tahoma"/>
    </font>
    <font>
      <b/>
      <sz val="12.0"/>
      <color theme="1"/>
      <name val="Courier New"/>
    </font>
    <font>
      <b/>
      <u/>
      <sz val="8.0"/>
      <color rgb="FF0000FF"/>
      <name val="Tahoma"/>
    </font>
    <font>
      <sz val="8.0"/>
      <color theme="1"/>
      <name val="Courier New"/>
    </font>
    <font>
      <sz val="8.0"/>
      <color rgb="FFFFFFFF"/>
      <name val="Tahoma"/>
    </font>
    <font>
      <b/>
      <sz val="8.0"/>
      <color theme="1"/>
      <name val="Courier New"/>
    </font>
    <font>
      <sz val="8.0"/>
      <color rgb="FF008000"/>
      <name val="Tahoma"/>
    </font>
  </fonts>
  <fills count="7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9900"/>
        <bgColor rgb="FFFF9900"/>
      </patternFill>
    </fill>
  </fills>
  <borders count="102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double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/>
    </border>
    <border>
      <left/>
      <right/>
      <top style="double">
        <color rgb="FF000000"/>
      </top>
      <bottom style="medium">
        <color rgb="FFFFFFFF"/>
      </bottom>
    </border>
    <border>
      <left/>
      <right style="double">
        <color rgb="FF000000"/>
      </right>
      <top style="double">
        <color rgb="FF000000"/>
      </top>
      <bottom style="medium">
        <color rgb="FFFFFFFF"/>
      </bottom>
    </border>
    <border>
      <left style="double">
        <color rgb="FF000000"/>
      </left>
      <right style="thin">
        <color rgb="FF000000"/>
      </right>
      <top style="thin">
        <color rgb="FFFFFFFF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top/>
      <bottom/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left style="medium">
        <color rgb="FF000000"/>
      </left>
      <top/>
      <bottom style="thin">
        <color rgb="FF000000"/>
      </bottom>
    </border>
    <border>
      <left/>
      <right/>
      <top style="double">
        <color rgb="FF000000"/>
      </top>
      <bottom style="thin">
        <color rgb="FF000000"/>
      </bottom>
    </border>
    <border>
      <left/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medium">
        <color rgb="FFFFFFFF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left/>
      <right style="double">
        <color rgb="FF000000"/>
      </right>
      <top style="double">
        <color rgb="FF000000"/>
      </top>
      <bottom/>
    </border>
    <border>
      <left style="double">
        <color rgb="FF000000"/>
      </left>
      <right/>
      <top/>
      <bottom/>
    </border>
    <border>
      <left style="double">
        <color rgb="FF000000"/>
      </left>
      <right/>
      <top/>
      <bottom style="double">
        <color rgb="FF000000"/>
      </bottom>
    </border>
  </borders>
  <cellStyleXfs count="1">
    <xf borderId="0" fillId="0" fontId="0" numFmtId="0" applyAlignment="1" applyFont="1"/>
  </cellStyleXfs>
  <cellXfs count="28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left" shrinkToFit="0" vertical="bottom" wrapText="0"/>
    </xf>
    <xf borderId="1" fillId="2" fontId="4" numFmtId="0" xfId="0" applyAlignment="1" applyBorder="1" applyFont="1">
      <alignment shrinkToFit="0" vertical="center" wrapText="0"/>
    </xf>
    <xf borderId="1" fillId="2" fontId="5" numFmtId="0" xfId="0" applyAlignment="1" applyBorder="1" applyFont="1">
      <alignment horizontal="left" shrinkToFit="0" vertical="bottom" wrapText="0"/>
    </xf>
    <xf borderId="1" fillId="2" fontId="6" numFmtId="0" xfId="0" applyAlignment="1" applyBorder="1" applyFont="1">
      <alignment shrinkToFit="0" vertical="center" wrapText="0"/>
    </xf>
    <xf borderId="1" fillId="2" fontId="5" numFmtId="0" xfId="0" applyAlignment="1" applyBorder="1" applyFont="1">
      <alignment horizontal="left" shrinkToFit="0" vertical="bottom" wrapText="1"/>
    </xf>
    <xf borderId="1" fillId="2" fontId="7" numFmtId="0" xfId="0" applyAlignment="1" applyBorder="1" applyFont="1">
      <alignment horizontal="left" shrinkToFit="0" vertical="bottom" wrapText="0"/>
    </xf>
    <xf borderId="1" fillId="2" fontId="8" numFmtId="0" xfId="0" applyAlignment="1" applyBorder="1" applyFont="1">
      <alignment shrinkToFit="0" vertical="center" wrapText="0"/>
    </xf>
    <xf borderId="1" fillId="2" fontId="9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shrinkToFit="0" vertical="center" wrapText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2" fillId="0" fontId="10" numFmtId="0" xfId="0" applyAlignment="1" applyBorder="1" applyFont="1">
      <alignment horizontal="center" shrinkToFit="0" vertical="center" wrapText="0"/>
    </xf>
    <xf borderId="2" fillId="0" fontId="11" numFmtId="0" xfId="0" applyAlignment="1" applyBorder="1" applyFont="1">
      <alignment horizontal="center" shrinkToFit="0" vertical="center" wrapText="0"/>
    </xf>
    <xf borderId="3" fillId="0" fontId="12" numFmtId="0" xfId="0" applyAlignment="1" applyBorder="1" applyFont="1">
      <alignment vertical="center"/>
    </xf>
    <xf borderId="4" fillId="0" fontId="12" numFmtId="0" xfId="0" applyAlignment="1" applyBorder="1" applyFont="1">
      <alignment vertical="center"/>
    </xf>
    <xf borderId="0" fillId="0" fontId="5" numFmtId="0" xfId="0" applyAlignment="1" applyFont="1">
      <alignment horizontal="center" shrinkToFit="0" vertical="center" wrapText="0"/>
    </xf>
    <xf borderId="1" fillId="3" fontId="13" numFmtId="0" xfId="0" applyAlignment="1" applyBorder="1" applyFill="1" applyFont="1">
      <alignment horizontal="left" shrinkToFit="0" vertical="bottom" wrapText="0"/>
    </xf>
    <xf borderId="0" fillId="0" fontId="14" numFmtId="0" xfId="0" applyAlignment="1" applyFont="1">
      <alignment horizontal="left" shrinkToFit="0" vertical="bottom" wrapText="0"/>
    </xf>
    <xf borderId="1" fillId="3" fontId="5" numFmtId="0" xfId="0" applyAlignment="1" applyBorder="1" applyFont="1">
      <alignment shrinkToFit="0" vertical="bottom" wrapText="0"/>
    </xf>
    <xf borderId="5" fillId="3" fontId="9" numFmtId="0" xfId="0" applyAlignment="1" applyBorder="1" applyFont="1">
      <alignment horizontal="left" shrinkToFit="0" vertical="bottom" wrapText="0"/>
    </xf>
    <xf borderId="2" fillId="0" fontId="7" numFmtId="0" xfId="0" applyAlignment="1" applyBorder="1" applyFont="1">
      <alignment horizontal="left" shrinkToFit="0" vertical="bottom" wrapText="0"/>
    </xf>
    <xf borderId="4" fillId="0" fontId="5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shrinkToFit="0" vertical="bottom" wrapText="0"/>
    </xf>
    <xf borderId="5" fillId="3" fontId="9" numFmtId="0" xfId="0" applyAlignment="1" applyBorder="1" applyFont="1">
      <alignment shrinkToFit="0" vertical="center" wrapText="0"/>
    </xf>
    <xf borderId="2" fillId="0" fontId="7" numFmtId="0" xfId="0" applyAlignment="1" applyBorder="1" applyFont="1">
      <alignment horizontal="left" shrinkToFit="0" vertical="center" wrapText="0"/>
    </xf>
    <xf borderId="4" fillId="0" fontId="7" numFmtId="0" xfId="0" applyAlignment="1" applyBorder="1" applyFont="1">
      <alignment horizontal="left" shrinkToFit="0" vertical="bottom" wrapText="0"/>
    </xf>
    <xf borderId="0" fillId="0" fontId="9" numFmtId="0" xfId="0" applyAlignment="1" applyFont="1">
      <alignment shrinkToFit="0" vertical="bottom" wrapText="0"/>
    </xf>
    <xf borderId="0" fillId="0" fontId="13" numFmtId="0" xfId="0" applyAlignment="1" applyFont="1">
      <alignment horizontal="left" shrinkToFit="0" vertical="bottom" wrapText="0"/>
    </xf>
    <xf borderId="0" fillId="0" fontId="9" numFmtId="0" xfId="0" applyAlignment="1" applyFont="1">
      <alignment horizontal="left" shrinkToFit="0" vertical="bottom" wrapText="0"/>
    </xf>
    <xf borderId="6" fillId="4" fontId="15" numFmtId="164" xfId="0" applyAlignment="1" applyBorder="1" applyFill="1" applyFont="1" applyNumberFormat="1">
      <alignment horizontal="center" shrinkToFit="0" vertical="center" wrapText="0"/>
    </xf>
    <xf borderId="7" fillId="4" fontId="15" numFmtId="0" xfId="0" applyAlignment="1" applyBorder="1" applyFont="1">
      <alignment horizontal="center" shrinkToFit="0" vertical="center" wrapText="0"/>
    </xf>
    <xf borderId="8" fillId="4" fontId="15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9" fillId="0" fontId="7" numFmtId="0" xfId="0" applyAlignment="1" applyBorder="1" applyFont="1">
      <alignment shrinkToFit="0" vertical="top" wrapText="1"/>
    </xf>
    <xf borderId="10" fillId="0" fontId="5" numFmtId="49" xfId="0" applyAlignment="1" applyBorder="1" applyFont="1" applyNumberFormat="1">
      <alignment shrinkToFit="0" vertical="top" wrapText="0"/>
    </xf>
    <xf borderId="10" fillId="0" fontId="5" numFmtId="0" xfId="0" applyAlignment="1" applyBorder="1" applyFont="1">
      <alignment shrinkToFit="0" vertical="top" wrapText="0"/>
    </xf>
    <xf borderId="10" fillId="0" fontId="5" numFmtId="15" xfId="0" applyAlignment="1" applyBorder="1" applyFont="1" applyNumberFormat="1">
      <alignment shrinkToFit="0" vertical="top" wrapText="0"/>
    </xf>
    <xf borderId="11" fillId="0" fontId="7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0"/>
    </xf>
    <xf borderId="9" fillId="0" fontId="5" numFmtId="164" xfId="0" applyAlignment="1" applyBorder="1" applyFont="1" applyNumberFormat="1">
      <alignment shrinkToFit="0" vertical="top" wrapText="0"/>
    </xf>
    <xf borderId="11" fillId="0" fontId="5" numFmtId="0" xfId="0" applyAlignment="1" applyBorder="1" applyFont="1">
      <alignment shrinkToFit="0" vertical="top" wrapText="0"/>
    </xf>
    <xf borderId="12" fillId="0" fontId="5" numFmtId="164" xfId="0" applyAlignment="1" applyBorder="1" applyFont="1" applyNumberFormat="1">
      <alignment shrinkToFit="0" vertical="top" wrapText="0"/>
    </xf>
    <xf borderId="13" fillId="0" fontId="5" numFmtId="49" xfId="0" applyAlignment="1" applyBorder="1" applyFont="1" applyNumberFormat="1">
      <alignment shrinkToFit="0" vertical="top" wrapText="0"/>
    </xf>
    <xf borderId="13" fillId="0" fontId="5" numFmtId="0" xfId="0" applyAlignment="1" applyBorder="1" applyFont="1">
      <alignment shrinkToFit="0" vertical="top" wrapText="0"/>
    </xf>
    <xf borderId="14" fillId="0" fontId="5" numFmtId="0" xfId="0" applyAlignment="1" applyBorder="1" applyFont="1">
      <alignment shrinkToFit="0" vertical="top" wrapText="0"/>
    </xf>
    <xf borderId="1" fillId="3" fontId="5" numFmtId="1" xfId="0" applyAlignment="1" applyBorder="1" applyFont="1" applyNumberFormat="1">
      <alignment shrinkToFit="0" vertical="bottom" wrapText="0"/>
    </xf>
    <xf borderId="1" fillId="3" fontId="5" numFmtId="0" xfId="0" applyAlignment="1" applyBorder="1" applyFont="1">
      <alignment horizontal="left" shrinkToFit="0" vertical="bottom" wrapText="1"/>
    </xf>
    <xf borderId="1" fillId="3" fontId="5" numFmtId="0" xfId="0" applyAlignment="1" applyBorder="1" applyFont="1">
      <alignment horizontal="left" shrinkToFit="0" vertical="bottom" wrapText="0"/>
    </xf>
    <xf borderId="1" fillId="3" fontId="11" numFmtId="0" xfId="0" applyAlignment="1" applyBorder="1" applyFont="1">
      <alignment horizontal="left" shrinkToFit="0" vertical="bottom" wrapText="0"/>
    </xf>
    <xf borderId="1" fillId="3" fontId="16" numFmtId="0" xfId="0" applyAlignment="1" applyBorder="1" applyFont="1">
      <alignment horizontal="left" shrinkToFit="0" vertical="bottom" wrapText="0"/>
    </xf>
    <xf borderId="1" fillId="3" fontId="17" numFmtId="0" xfId="0" applyAlignment="1" applyBorder="1" applyFont="1">
      <alignment horizontal="left" shrinkToFit="0" vertical="bottom" wrapText="0"/>
    </xf>
    <xf borderId="2" fillId="3" fontId="9" numFmtId="1" xfId="0" applyAlignment="1" applyBorder="1" applyFont="1" applyNumberFormat="1">
      <alignment shrinkToFit="0" vertical="bottom" wrapText="0"/>
    </xf>
    <xf borderId="15" fillId="0" fontId="12" numFmtId="0" xfId="0" applyAlignment="1" applyBorder="1" applyFont="1">
      <alignment vertical="center"/>
    </xf>
    <xf borderId="2" fillId="3" fontId="7" numFmtId="0" xfId="0" applyAlignment="1" applyBorder="1" applyFont="1">
      <alignment horizontal="left" shrinkToFit="0" vertical="bottom" wrapText="0"/>
    </xf>
    <xf borderId="2" fillId="3" fontId="9" numFmtId="1" xfId="0" applyAlignment="1" applyBorder="1" applyFont="1" applyNumberFormat="1">
      <alignment shrinkToFit="0" vertical="center" wrapText="1"/>
    </xf>
    <xf borderId="2" fillId="3" fontId="7" numFmtId="0" xfId="0" applyAlignment="1" applyBorder="1" applyFont="1">
      <alignment horizontal="left" shrinkToFit="0" vertical="top" wrapText="1"/>
    </xf>
    <xf borderId="1" fillId="3" fontId="5" numFmtId="0" xfId="0" applyAlignment="1" applyBorder="1" applyFont="1">
      <alignment shrinkToFit="0" vertical="bottom" wrapText="1"/>
    </xf>
    <xf borderId="1" fillId="3" fontId="13" numFmtId="1" xfId="0" applyAlignment="1" applyBorder="1" applyFont="1" applyNumberFormat="1">
      <alignment shrinkToFit="0" vertical="bottom" wrapText="0"/>
    </xf>
    <xf borderId="6" fillId="5" fontId="15" numFmtId="1" xfId="0" applyAlignment="1" applyBorder="1" applyFill="1" applyFont="1" applyNumberFormat="1">
      <alignment horizontal="center" shrinkToFit="0" vertical="center" wrapText="0"/>
    </xf>
    <xf borderId="16" fillId="5" fontId="15" numFmtId="1" xfId="0" applyAlignment="1" applyBorder="1" applyFont="1" applyNumberFormat="1">
      <alignment horizontal="center" shrinkToFit="0" vertical="center" wrapText="0"/>
    </xf>
    <xf borderId="7" fillId="5" fontId="15" numFmtId="0" xfId="0" applyAlignment="1" applyBorder="1" applyFont="1">
      <alignment horizontal="center" shrinkToFit="0" vertical="center" wrapText="1"/>
    </xf>
    <xf borderId="7" fillId="5" fontId="15" numFmtId="0" xfId="0" applyAlignment="1" applyBorder="1" applyFont="1">
      <alignment horizontal="center" shrinkToFit="0" vertical="center" wrapText="0"/>
    </xf>
    <xf borderId="17" fillId="5" fontId="15" numFmtId="0" xfId="0" applyAlignment="1" applyBorder="1" applyFont="1">
      <alignment horizontal="center" shrinkToFit="0" vertical="center" wrapText="0"/>
    </xf>
    <xf borderId="8" fillId="5" fontId="15" numFmtId="0" xfId="0" applyAlignment="1" applyBorder="1" applyFont="1">
      <alignment horizontal="center" shrinkToFit="0" vertical="center" wrapText="0"/>
    </xf>
    <xf borderId="1" fillId="3" fontId="9" numFmtId="0" xfId="0" applyAlignment="1" applyBorder="1" applyFont="1">
      <alignment horizontal="center" shrinkToFit="0" vertical="bottom" wrapText="0"/>
    </xf>
    <xf borderId="9" fillId="3" fontId="5" numFmtId="1" xfId="0" applyAlignment="1" applyBorder="1" applyFont="1" applyNumberFormat="1">
      <alignment horizontal="center" shrinkToFit="0" vertical="center" wrapText="0"/>
    </xf>
    <xf borderId="18" fillId="3" fontId="5" numFmtId="1" xfId="0" applyAlignment="1" applyBorder="1" applyFont="1" applyNumberFormat="1">
      <alignment shrinkToFit="0" vertical="center" wrapText="0"/>
    </xf>
    <xf borderId="10" fillId="3" fontId="5" numFmtId="49" xfId="0" applyAlignment="1" applyBorder="1" applyFont="1" applyNumberFormat="1">
      <alignment horizontal="left" shrinkToFit="0" vertical="center" wrapText="1"/>
    </xf>
    <xf borderId="10" fillId="3" fontId="18" numFmtId="0" xfId="0" applyAlignment="1" applyBorder="1" applyFont="1">
      <alignment horizontal="left" shrinkToFit="0" vertical="center" wrapText="0"/>
    </xf>
    <xf borderId="10" fillId="3" fontId="19" numFmtId="0" xfId="0" applyAlignment="1" applyBorder="1" applyFont="1">
      <alignment horizontal="left" shrinkToFit="0" vertical="center" wrapText="0"/>
    </xf>
    <xf borderId="11" fillId="3" fontId="5" numFmtId="0" xfId="0" applyAlignment="1" applyBorder="1" applyFont="1">
      <alignment horizontal="left" shrinkToFit="0" vertical="center" wrapText="0"/>
    </xf>
    <xf borderId="10" fillId="3" fontId="5" numFmtId="0" xfId="0" applyAlignment="1" applyBorder="1" applyFont="1">
      <alignment horizontal="left" shrinkToFit="0" vertical="center" wrapText="0"/>
    </xf>
    <xf borderId="12" fillId="3" fontId="5" numFmtId="1" xfId="0" applyAlignment="1" applyBorder="1" applyFont="1" applyNumberFormat="1">
      <alignment horizontal="center" shrinkToFit="0" vertical="center" wrapText="0"/>
    </xf>
    <xf borderId="19" fillId="3" fontId="5" numFmtId="1" xfId="0" applyAlignment="1" applyBorder="1" applyFont="1" applyNumberFormat="1">
      <alignment shrinkToFit="0" vertical="center" wrapText="0"/>
    </xf>
    <xf borderId="13" fillId="3" fontId="5" numFmtId="49" xfId="0" applyAlignment="1" applyBorder="1" applyFont="1" applyNumberFormat="1">
      <alignment horizontal="left" shrinkToFit="0" vertical="center" wrapText="1"/>
    </xf>
    <xf borderId="13" fillId="3" fontId="5" numFmtId="0" xfId="0" applyAlignment="1" applyBorder="1" applyFont="1">
      <alignment horizontal="left" shrinkToFit="0" vertical="center" wrapText="0"/>
    </xf>
    <xf borderId="14" fillId="3" fontId="5" numFmtId="0" xfId="0" applyAlignment="1" applyBorder="1" applyFont="1">
      <alignment horizontal="left" shrinkToFit="0" vertical="center" wrapText="0"/>
    </xf>
    <xf borderId="20" fillId="3" fontId="11" numFmtId="0" xfId="0" applyAlignment="1" applyBorder="1" applyFont="1">
      <alignment horizontal="center" shrinkToFit="0" vertical="bottom" wrapText="0"/>
    </xf>
    <xf borderId="21" fillId="0" fontId="12" numFmtId="0" xfId="0" applyAlignment="1" applyBorder="1" applyFont="1">
      <alignment vertical="center"/>
    </xf>
    <xf borderId="22" fillId="0" fontId="12" numFmtId="0" xfId="0" applyAlignment="1" applyBorder="1" applyFont="1">
      <alignment vertical="center"/>
    </xf>
    <xf borderId="1" fillId="3" fontId="9" numFmtId="0" xfId="0" applyAlignment="1" applyBorder="1" applyFont="1">
      <alignment shrinkToFit="0" vertical="bottom" wrapText="0"/>
    </xf>
    <xf borderId="1" fillId="3" fontId="5" numFmtId="164" xfId="0" applyAlignment="1" applyBorder="1" applyFont="1" applyNumberFormat="1">
      <alignment shrinkToFit="0" vertical="bottom" wrapText="0"/>
    </xf>
    <xf borderId="5" fillId="3" fontId="9" numFmtId="0" xfId="0" applyAlignment="1" applyBorder="1" applyFont="1">
      <alignment horizontal="left" shrinkToFit="0" vertical="center" wrapText="0"/>
    </xf>
    <xf borderId="2" fillId="3" fontId="9" numFmtId="0" xfId="0" applyAlignment="1" applyBorder="1" applyFont="1">
      <alignment horizontal="left" shrinkToFit="0" vertical="bottom" wrapText="0"/>
    </xf>
    <xf borderId="2" fillId="3" fontId="9" numFmtId="0" xfId="0" applyAlignment="1" applyBorder="1" applyFont="1">
      <alignment horizontal="center" shrinkToFit="0" vertical="bottom" wrapText="0"/>
    </xf>
    <xf borderId="2" fillId="3" fontId="7" numFmtId="165" xfId="0" applyAlignment="1" applyBorder="1" applyFont="1" applyNumberFormat="1">
      <alignment horizontal="left" shrinkToFit="0" vertical="top" wrapText="0"/>
    </xf>
    <xf borderId="2" fillId="3" fontId="7" numFmtId="0" xfId="0" applyAlignment="1" applyBorder="1" applyFont="1">
      <alignment shrinkToFit="0" vertical="top" wrapText="0"/>
    </xf>
    <xf borderId="1" fillId="3" fontId="13" numFmtId="0" xfId="0" applyAlignment="1" applyBorder="1" applyFont="1">
      <alignment shrinkToFit="0" vertical="bottom" wrapText="0"/>
    </xf>
    <xf borderId="1" fillId="3" fontId="14" numFmtId="0" xfId="0" applyAlignment="1" applyBorder="1" applyFont="1">
      <alignment shrinkToFit="0" vertical="bottom" wrapText="0"/>
    </xf>
    <xf borderId="16" fillId="4" fontId="15" numFmtId="0" xfId="0" applyAlignment="1" applyBorder="1" applyFont="1">
      <alignment horizontal="center" shrinkToFit="0" vertical="bottom" wrapText="0"/>
    </xf>
    <xf borderId="7" fillId="4" fontId="15" numFmtId="0" xfId="0" applyAlignment="1" applyBorder="1" applyFont="1">
      <alignment horizontal="center" shrinkToFit="0" vertical="bottom" wrapText="0"/>
    </xf>
    <xf borderId="7" fillId="4" fontId="15" numFmtId="0" xfId="0" applyAlignment="1" applyBorder="1" applyFont="1">
      <alignment horizontal="center" shrinkToFit="0" vertical="bottom" wrapText="1"/>
    </xf>
    <xf borderId="17" fillId="4" fontId="15" numFmtId="0" xfId="0" applyAlignment="1" applyBorder="1" applyFont="1">
      <alignment horizontal="center" shrinkToFit="0" vertical="bottom" wrapText="0"/>
    </xf>
    <xf borderId="23" fillId="4" fontId="15" numFmtId="0" xfId="0" applyAlignment="1" applyBorder="1" applyFont="1">
      <alignment horizontal="center" shrinkToFit="0" vertical="bottom" wrapText="1"/>
    </xf>
    <xf borderId="18" fillId="3" fontId="5" numFmtId="0" xfId="0" applyAlignment="1" applyBorder="1" applyFont="1">
      <alignment horizontal="center" shrinkToFit="0" vertical="bottom" wrapText="0"/>
    </xf>
    <xf borderId="10" fillId="3" fontId="5" numFmtId="0" xfId="0" applyAlignment="1" applyBorder="1" applyFont="1">
      <alignment horizontal="center" shrinkToFit="0" vertical="bottom" wrapText="0"/>
    </xf>
    <xf borderId="24" fillId="3" fontId="5" numFmtId="0" xfId="0" applyAlignment="1" applyBorder="1" applyFont="1">
      <alignment horizontal="center" shrinkToFit="0" vertical="bottom" wrapText="0"/>
    </xf>
    <xf borderId="10" fillId="3" fontId="20" numFmtId="49" xfId="0" applyAlignment="1" applyBorder="1" applyFont="1" applyNumberFormat="1">
      <alignment shrinkToFit="0" vertical="bottom" wrapText="0"/>
    </xf>
    <xf borderId="19" fillId="4" fontId="21" numFmtId="0" xfId="0" applyAlignment="1" applyBorder="1" applyFont="1">
      <alignment horizontal="center" shrinkToFit="0" vertical="bottom" wrapText="0"/>
    </xf>
    <xf borderId="1" fillId="4" fontId="22" numFmtId="0" xfId="0" applyAlignment="1" applyBorder="1" applyFont="1">
      <alignment shrinkToFit="0" vertical="center" wrapText="0"/>
    </xf>
    <xf borderId="13" fillId="4" fontId="21" numFmtId="0" xfId="0" applyAlignment="1" applyBorder="1" applyFont="1">
      <alignment horizontal="center" shrinkToFit="0" vertical="bottom" wrapText="0"/>
    </xf>
    <xf borderId="1" fillId="3" fontId="5" numFmtId="0" xfId="0" applyAlignment="1" applyBorder="1" applyFont="1">
      <alignment horizontal="center" shrinkToFit="0" vertical="bottom" wrapText="0"/>
    </xf>
    <xf borderId="1" fillId="3" fontId="5" numFmtId="10" xfId="0" applyAlignment="1" applyBorder="1" applyFont="1" applyNumberFormat="1">
      <alignment horizontal="center" shrinkToFit="0" vertical="bottom" wrapText="0"/>
    </xf>
    <xf borderId="1" fillId="3" fontId="5" numFmtId="9" xfId="0" applyAlignment="1" applyBorder="1" applyFont="1" applyNumberFormat="1">
      <alignment horizontal="center" shrinkToFit="0" vertical="bottom" wrapText="0"/>
    </xf>
    <xf borderId="1" fillId="3" fontId="9" numFmtId="0" xfId="0" applyAlignment="1" applyBorder="1" applyFont="1">
      <alignment horizontal="left" shrinkToFit="0" vertical="bottom" wrapText="0"/>
    </xf>
    <xf borderId="1" fillId="3" fontId="9" numFmtId="2" xfId="0" applyAlignment="1" applyBorder="1" applyFont="1" applyNumberFormat="1">
      <alignment horizontal="right" shrinkToFit="0" vertical="bottom" wrapText="1"/>
    </xf>
    <xf borderId="1" fillId="3" fontId="23" numFmtId="0" xfId="0" applyAlignment="1" applyBorder="1" applyFont="1">
      <alignment horizontal="center" shrinkToFit="0" vertical="bottom" wrapText="1"/>
    </xf>
    <xf borderId="25" fillId="3" fontId="24" numFmtId="0" xfId="0" applyAlignment="1" applyBorder="1" applyFont="1">
      <alignment horizontal="left" shrinkToFit="0" vertical="bottom" wrapText="1"/>
    </xf>
    <xf borderId="26" fillId="0" fontId="12" numFmtId="0" xfId="0" applyAlignment="1" applyBorder="1" applyFont="1">
      <alignment vertical="center"/>
    </xf>
    <xf borderId="27" fillId="3" fontId="25" numFmtId="49" xfId="0" applyAlignment="1" applyBorder="1" applyFont="1" applyNumberFormat="1">
      <alignment horizontal="left" shrinkToFit="0" vertical="bottom" wrapText="1"/>
    </xf>
    <xf borderId="28" fillId="0" fontId="12" numFmtId="0" xfId="0" applyAlignment="1" applyBorder="1" applyFont="1">
      <alignment vertical="center"/>
    </xf>
    <xf borderId="29" fillId="0" fontId="12" numFmtId="0" xfId="0" applyAlignment="1" applyBorder="1" applyFont="1">
      <alignment vertical="center"/>
    </xf>
    <xf borderId="30" fillId="3" fontId="24" numFmtId="0" xfId="0" applyAlignment="1" applyBorder="1" applyFont="1">
      <alignment horizontal="left" shrinkToFit="0" vertical="bottom" wrapText="1"/>
    </xf>
    <xf borderId="31" fillId="0" fontId="12" numFmtId="0" xfId="0" applyAlignment="1" applyBorder="1" applyFont="1">
      <alignment vertical="center"/>
    </xf>
    <xf borderId="32" fillId="0" fontId="12" numFmtId="0" xfId="0" applyAlignment="1" applyBorder="1" applyFont="1">
      <alignment vertical="center"/>
    </xf>
    <xf borderId="27" fillId="3" fontId="26" numFmtId="49" xfId="0" applyAlignment="1" applyBorder="1" applyFont="1" applyNumberFormat="1">
      <alignment horizontal="center" shrinkToFit="0" vertical="bottom" wrapText="1"/>
    </xf>
    <xf borderId="33" fillId="0" fontId="12" numFmtId="0" xfId="0" applyAlignment="1" applyBorder="1" applyFont="1">
      <alignment vertical="center"/>
    </xf>
    <xf borderId="0" fillId="0" fontId="26" numFmtId="0" xfId="0" applyAlignment="1" applyFont="1">
      <alignment shrinkToFit="0" vertical="bottom" wrapText="0"/>
    </xf>
    <xf borderId="0" fillId="0" fontId="26" numFmtId="49" xfId="0" applyAlignment="1" applyFont="1" applyNumberFormat="1">
      <alignment shrinkToFit="0" vertical="bottom" wrapText="0"/>
    </xf>
    <xf borderId="34" fillId="3" fontId="24" numFmtId="0" xfId="0" applyAlignment="1" applyBorder="1" applyFont="1">
      <alignment horizontal="left" shrinkToFit="0" vertical="bottom" wrapText="1"/>
    </xf>
    <xf borderId="35" fillId="3" fontId="25" numFmtId="0" xfId="0" applyAlignment="1" applyBorder="1" applyFont="1">
      <alignment horizontal="left" shrinkToFit="0" vertical="bottom" wrapText="1"/>
    </xf>
    <xf borderId="36" fillId="0" fontId="12" numFmtId="0" xfId="0" applyAlignment="1" applyBorder="1" applyFont="1">
      <alignment vertical="center"/>
    </xf>
    <xf borderId="37" fillId="0" fontId="12" numFmtId="0" xfId="0" applyAlignment="1" applyBorder="1" applyFont="1">
      <alignment vertical="center"/>
    </xf>
    <xf borderId="2" fillId="3" fontId="24" numFmtId="0" xfId="0" applyAlignment="1" applyBorder="1" applyFont="1">
      <alignment horizontal="left" shrinkToFit="0" vertical="bottom" wrapText="1"/>
    </xf>
    <xf borderId="38" fillId="3" fontId="25" numFmtId="0" xfId="0" applyAlignment="1" applyBorder="1" applyFont="1">
      <alignment horizontal="left" shrinkToFit="0" vertical="bottom" wrapText="1"/>
    </xf>
    <xf borderId="39" fillId="0" fontId="12" numFmtId="0" xfId="0" applyAlignment="1" applyBorder="1" applyFont="1">
      <alignment vertical="center"/>
    </xf>
    <xf borderId="40" fillId="3" fontId="25" numFmtId="0" xfId="0" applyAlignment="1" applyBorder="1" applyFont="1">
      <alignment shrinkToFit="0" vertical="bottom" wrapText="1"/>
    </xf>
    <xf borderId="41" fillId="3" fontId="25" numFmtId="0" xfId="0" applyAlignment="1" applyBorder="1" applyFont="1">
      <alignment shrinkToFit="0" vertical="bottom" wrapText="1"/>
    </xf>
    <xf borderId="2" fillId="3" fontId="25" numFmtId="0" xfId="0" applyAlignment="1" applyBorder="1" applyFont="1">
      <alignment horizontal="left" shrinkToFit="0" vertical="bottom" wrapText="1"/>
    </xf>
    <xf borderId="42" fillId="0" fontId="12" numFmtId="0" xfId="0" applyAlignment="1" applyBorder="1" applyFont="1">
      <alignment vertical="center"/>
    </xf>
    <xf borderId="34" fillId="3" fontId="24" numFmtId="0" xfId="0" applyAlignment="1" applyBorder="1" applyFont="1">
      <alignment horizontal="center" shrinkToFit="0" vertical="center" wrapText="0"/>
    </xf>
    <xf borderId="2" fillId="3" fontId="24" numFmtId="0" xfId="0" applyAlignment="1" applyBorder="1" applyFont="1">
      <alignment horizontal="center" shrinkToFit="0" vertical="center" wrapText="1"/>
    </xf>
    <xf borderId="43" fillId="3" fontId="24" numFmtId="0" xfId="0" applyAlignment="1" applyBorder="1" applyFont="1">
      <alignment horizontal="center" shrinkToFit="0" vertical="center" wrapText="1"/>
    </xf>
    <xf borderId="44" fillId="3" fontId="26" numFmtId="0" xfId="0" applyAlignment="1" applyBorder="1" applyFont="1">
      <alignment horizontal="center" shrinkToFit="0" vertical="center" wrapText="0"/>
    </xf>
    <xf borderId="45" fillId="0" fontId="12" numFmtId="0" xfId="0" applyAlignment="1" applyBorder="1" applyFont="1">
      <alignment vertical="center"/>
    </xf>
    <xf borderId="46" fillId="3" fontId="26" numFmtId="0" xfId="0" applyAlignment="1" applyBorder="1" applyFont="1">
      <alignment horizontal="center" shrinkToFit="0" vertical="center" wrapText="0"/>
    </xf>
    <xf borderId="47" fillId="0" fontId="12" numFmtId="0" xfId="0" applyAlignment="1" applyBorder="1" applyFont="1">
      <alignment vertical="center"/>
    </xf>
    <xf borderId="48" fillId="3" fontId="26" numFmtId="0" xfId="0" applyAlignment="1" applyBorder="1" applyFont="1">
      <alignment horizontal="center" shrinkToFit="0" vertical="center" wrapText="0"/>
    </xf>
    <xf borderId="49" fillId="0" fontId="12" numFmtId="0" xfId="0" applyAlignment="1" applyBorder="1" applyFont="1">
      <alignment vertical="center"/>
    </xf>
    <xf borderId="50" fillId="0" fontId="26" numFmtId="0" xfId="0" applyAlignment="1" applyBorder="1" applyFont="1">
      <alignment shrinkToFit="0" vertical="bottom" wrapText="0"/>
    </xf>
    <xf borderId="0" fillId="0" fontId="24" numFmtId="0" xfId="0" applyAlignment="1" applyFont="1">
      <alignment horizontal="left" shrinkToFit="0" vertical="bottom" wrapText="0"/>
    </xf>
    <xf borderId="0" fillId="0" fontId="26" numFmtId="0" xfId="0" applyAlignment="1" applyFont="1">
      <alignment horizontal="right" shrinkToFit="0" vertical="bottom" wrapText="0"/>
    </xf>
    <xf borderId="51" fillId="4" fontId="27" numFmtId="164" xfId="0" applyAlignment="1" applyBorder="1" applyFont="1" applyNumberFormat="1">
      <alignment vertical="bottom"/>
    </xf>
    <xf borderId="52" fillId="4" fontId="27" numFmtId="0" xfId="0" applyAlignment="1" applyBorder="1" applyFont="1">
      <alignment vertical="bottom"/>
    </xf>
    <xf borderId="52" fillId="4" fontId="28" numFmtId="0" xfId="0" applyAlignment="1" applyBorder="1" applyFont="1">
      <alignment horizontal="right" textRotation="180" vertical="top"/>
    </xf>
    <xf borderId="52" fillId="4" fontId="28" numFmtId="0" xfId="0" applyAlignment="1" applyBorder="1" applyFont="1">
      <alignment horizontal="right" readingOrder="0" textRotation="180" vertical="top"/>
    </xf>
    <xf borderId="53" fillId="4" fontId="28" numFmtId="0" xfId="0" applyAlignment="1" applyBorder="1" applyFont="1">
      <alignment readingOrder="0" shrinkToFit="0" textRotation="180" vertical="top" wrapText="0"/>
    </xf>
    <xf borderId="54" fillId="4" fontId="28" numFmtId="0" xfId="0" applyAlignment="1" applyBorder="1" applyFont="1">
      <alignment readingOrder="0" shrinkToFit="0" textRotation="180" vertical="top" wrapText="0"/>
    </xf>
    <xf borderId="0" fillId="0" fontId="24" numFmtId="0" xfId="0" applyAlignment="1" applyFont="1">
      <alignment shrinkToFit="0" vertical="bottom" wrapText="0"/>
    </xf>
    <xf borderId="55" fillId="4" fontId="28" numFmtId="0" xfId="0" applyAlignment="1" applyBorder="1" applyFont="1">
      <alignment vertical="center"/>
    </xf>
    <xf borderId="3" fillId="3" fontId="24" numFmtId="0" xfId="0" applyAlignment="1" applyBorder="1" applyFont="1">
      <alignment vertical="top"/>
    </xf>
    <xf borderId="3" fillId="3" fontId="27" numFmtId="0" xfId="0" applyAlignment="1" applyBorder="1" applyFont="1">
      <alignment vertical="top"/>
    </xf>
    <xf borderId="4" fillId="3" fontId="27" numFmtId="0" xfId="0" applyAlignment="1" applyBorder="1" applyFont="1">
      <alignment vertical="top"/>
    </xf>
    <xf borderId="5" fillId="0" fontId="27" numFmtId="0" xfId="0" applyAlignment="1" applyBorder="1" applyFont="1">
      <alignment vertical="bottom"/>
    </xf>
    <xf borderId="4" fillId="0" fontId="27" numFmtId="0" xfId="0" applyAlignment="1" applyBorder="1" applyFont="1">
      <alignment vertical="bottom"/>
    </xf>
    <xf borderId="56" fillId="0" fontId="3" numFmtId="0" xfId="0" applyAlignment="1" applyBorder="1" applyFont="1">
      <alignment horizontal="center" shrinkToFit="0" vertical="bottom" wrapText="0"/>
    </xf>
    <xf borderId="57" fillId="0" fontId="3" numFmtId="0" xfId="0" applyAlignment="1" applyBorder="1" applyFont="1">
      <alignment horizontal="center" shrinkToFit="0" vertical="bottom" wrapText="0"/>
    </xf>
    <xf borderId="58" fillId="4" fontId="27" numFmtId="0" xfId="0" applyAlignment="1" applyBorder="1" applyFont="1">
      <alignment vertical="center"/>
    </xf>
    <xf borderId="59" fillId="3" fontId="27" numFmtId="0" xfId="0" applyAlignment="1" applyBorder="1" applyFont="1">
      <alignment vertical="top"/>
    </xf>
    <xf borderId="60" fillId="3" fontId="26" numFmtId="0" xfId="0" applyAlignment="1" applyBorder="1" applyFont="1">
      <alignment horizontal="right" vertical="top"/>
    </xf>
    <xf borderId="56" fillId="0" fontId="29" numFmtId="0" xfId="0" applyAlignment="1" applyBorder="1" applyFont="1">
      <alignment horizontal="center" vertical="bottom"/>
    </xf>
    <xf borderId="60" fillId="0" fontId="29" numFmtId="0" xfId="0" applyAlignment="1" applyBorder="1" applyFont="1">
      <alignment horizontal="center" readingOrder="0" vertical="bottom"/>
    </xf>
    <xf borderId="60" fillId="0" fontId="29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shrinkToFit="0" vertical="bottom" wrapText="0"/>
    </xf>
    <xf borderId="61" fillId="0" fontId="3" numFmtId="0" xfId="0" applyAlignment="1" applyBorder="1" applyFont="1">
      <alignment horizontal="center" shrinkToFit="0" vertical="bottom" wrapText="0"/>
    </xf>
    <xf borderId="60" fillId="3" fontId="27" numFmtId="0" xfId="0" applyAlignment="1" applyBorder="1" applyFont="1">
      <alignment vertical="top"/>
    </xf>
    <xf borderId="56" fillId="0" fontId="27" numFmtId="0" xfId="0" applyAlignment="1" applyBorder="1" applyFont="1">
      <alignment vertical="bottom"/>
    </xf>
    <xf borderId="60" fillId="0" fontId="27" numFmtId="0" xfId="0" applyAlignment="1" applyBorder="1" applyFont="1">
      <alignment vertical="bottom"/>
    </xf>
    <xf borderId="59" fillId="3" fontId="24" numFmtId="0" xfId="0" applyAlignment="1" applyBorder="1" applyFont="1">
      <alignment readingOrder="0" vertical="top"/>
    </xf>
    <xf borderId="60" fillId="3" fontId="26" numFmtId="0" xfId="0" applyAlignment="1" applyBorder="1" applyFont="1">
      <alignment horizontal="right" readingOrder="0" vertical="top"/>
    </xf>
    <xf borderId="5" fillId="0" fontId="3" numFmtId="0" xfId="0" applyAlignment="1" applyBorder="1" applyFont="1">
      <alignment horizontal="center" readingOrder="0" shrinkToFit="0" vertical="bottom" wrapText="0"/>
    </xf>
    <xf borderId="59" fillId="3" fontId="30" numFmtId="0" xfId="0" applyAlignment="1" applyBorder="1" applyFont="1">
      <alignment readingOrder="0" vertical="top"/>
    </xf>
    <xf borderId="62" fillId="3" fontId="26" numFmtId="0" xfId="0" applyAlignment="1" applyBorder="1" applyFont="1">
      <alignment horizontal="right" readingOrder="0" vertical="top"/>
    </xf>
    <xf borderId="0" fillId="0" fontId="24" numFmtId="0" xfId="0" applyAlignment="1" applyFont="1">
      <alignment horizontal="center" shrinkToFit="0" vertical="bottom" wrapText="0"/>
    </xf>
    <xf borderId="63" fillId="3" fontId="26" numFmtId="0" xfId="0" applyAlignment="1" applyBorder="1" applyFont="1">
      <alignment horizontal="right" readingOrder="0" vertical="top"/>
    </xf>
    <xf borderId="55" fillId="4" fontId="28" numFmtId="0" xfId="0" applyAlignment="1" applyBorder="1" applyFont="1">
      <alignment vertical="top"/>
    </xf>
    <xf borderId="59" fillId="3" fontId="24" numFmtId="0" xfId="0" applyAlignment="1" applyBorder="1" applyFont="1">
      <alignment vertical="bottom"/>
    </xf>
    <xf borderId="59" fillId="3" fontId="27" numFmtId="0" xfId="0" applyAlignment="1" applyBorder="1" applyFont="1">
      <alignment vertical="bottom"/>
    </xf>
    <xf borderId="60" fillId="3" fontId="27" numFmtId="0" xfId="0" applyAlignment="1" applyBorder="1" applyFont="1">
      <alignment vertical="bottom"/>
    </xf>
    <xf borderId="64" fillId="0" fontId="3" numFmtId="0" xfId="0" applyAlignment="1" applyBorder="1" applyFont="1">
      <alignment horizontal="center" shrinkToFit="0" vertical="bottom" wrapText="0"/>
    </xf>
    <xf borderId="65" fillId="0" fontId="3" numFmtId="0" xfId="0" applyAlignment="1" applyBorder="1" applyFont="1">
      <alignment horizontal="center" shrinkToFit="0" vertical="bottom" wrapText="0"/>
    </xf>
    <xf borderId="58" fillId="4" fontId="27" numFmtId="0" xfId="0" applyAlignment="1" applyBorder="1" applyFont="1">
      <alignment vertical="top"/>
    </xf>
    <xf borderId="60" fillId="3" fontId="26" numFmtId="0" xfId="0" applyAlignment="1" applyBorder="1" applyFont="1">
      <alignment horizontal="right" readingOrder="0" vertical="bottom"/>
    </xf>
    <xf borderId="60" fillId="3" fontId="27" numFmtId="0" xfId="0" applyAlignment="1" applyBorder="1" applyFont="1">
      <alignment readingOrder="0" vertical="bottom"/>
    </xf>
    <xf borderId="60" fillId="3" fontId="26" numFmtId="0" xfId="0" applyAlignment="1" applyBorder="1" applyFont="1">
      <alignment horizontal="right" vertical="bottom"/>
    </xf>
    <xf borderId="66" fillId="0" fontId="26" numFmtId="0" xfId="0" applyAlignment="1" applyBorder="1" applyFont="1">
      <alignment vertical="bottom"/>
    </xf>
    <xf borderId="66" fillId="0" fontId="12" numFmtId="0" xfId="0" applyAlignment="1" applyBorder="1" applyFont="1">
      <alignment vertical="center"/>
    </xf>
    <xf borderId="67" fillId="0" fontId="12" numFmtId="0" xfId="0" applyAlignment="1" applyBorder="1" applyFont="1">
      <alignment vertical="center"/>
    </xf>
    <xf borderId="67" fillId="0" fontId="31" numFmtId="0" xfId="0" applyAlignment="1" applyBorder="1" applyFont="1">
      <alignment horizontal="center" vertical="bottom"/>
    </xf>
    <xf borderId="67" fillId="0" fontId="31" numFmtId="0" xfId="0" applyAlignment="1" applyBorder="1" applyFont="1">
      <alignment horizontal="center" readingOrder="0" vertical="bottom"/>
    </xf>
    <xf borderId="68" fillId="4" fontId="27" numFmtId="0" xfId="0" applyAlignment="1" applyBorder="1" applyFont="1">
      <alignment vertical="top"/>
    </xf>
    <xf borderId="2" fillId="0" fontId="26" numFmtId="0" xfId="0" applyAlignment="1" applyBorder="1" applyFont="1">
      <alignment vertical="bottom"/>
    </xf>
    <xf borderId="60" fillId="0" fontId="31" numFmtId="0" xfId="0" applyAlignment="1" applyBorder="1" applyFont="1">
      <alignment horizontal="center" vertical="bottom"/>
    </xf>
    <xf borderId="69" fillId="0" fontId="3" numFmtId="0" xfId="0" applyAlignment="1" applyBorder="1" applyFont="1">
      <alignment horizontal="center" shrinkToFit="0" vertical="bottom" wrapText="0"/>
    </xf>
    <xf borderId="70" fillId="0" fontId="3" numFmtId="0" xfId="0" applyAlignment="1" applyBorder="1" applyFont="1">
      <alignment horizontal="center" shrinkToFit="0" vertical="bottom" wrapText="0"/>
    </xf>
    <xf borderId="2" fillId="0" fontId="26" numFmtId="0" xfId="0" applyAlignment="1" applyBorder="1" applyFont="1">
      <alignment vertical="top"/>
    </xf>
    <xf borderId="60" fillId="0" fontId="26" numFmtId="0" xfId="0" applyAlignment="1" applyBorder="1" applyFont="1">
      <alignment horizontal="center" vertical="top"/>
    </xf>
    <xf borderId="5" fillId="0" fontId="26" numFmtId="166" xfId="0" applyAlignment="1" applyBorder="1" applyFont="1" applyNumberFormat="1">
      <alignment horizontal="center" textRotation="255" vertical="top"/>
    </xf>
    <xf borderId="71" fillId="0" fontId="26" numFmtId="0" xfId="0" applyAlignment="1" applyBorder="1" applyFont="1">
      <alignment horizontal="center" shrinkToFit="0" vertical="bottom" wrapText="0"/>
    </xf>
    <xf borderId="72" fillId="0" fontId="26" numFmtId="0" xfId="0" applyAlignment="1" applyBorder="1" applyFont="1">
      <alignment horizontal="center" shrinkToFit="0" vertical="bottom" wrapText="0"/>
    </xf>
    <xf borderId="73" fillId="4" fontId="27" numFmtId="0" xfId="0" applyAlignment="1" applyBorder="1" applyFont="1">
      <alignment vertical="top"/>
    </xf>
    <xf borderId="74" fillId="0" fontId="26" numFmtId="0" xfId="0" applyAlignment="1" applyBorder="1" applyFont="1">
      <alignment vertical="top"/>
    </xf>
    <xf borderId="75" fillId="0" fontId="12" numFmtId="0" xfId="0" applyAlignment="1" applyBorder="1" applyFont="1">
      <alignment vertical="center"/>
    </xf>
    <xf borderId="76" fillId="0" fontId="12" numFmtId="0" xfId="0" applyAlignment="1" applyBorder="1" applyFont="1">
      <alignment vertical="center"/>
    </xf>
    <xf borderId="77" fillId="0" fontId="27" numFmtId="0" xfId="0" applyAlignment="1" applyBorder="1" applyFont="1">
      <alignment vertical="bottom"/>
    </xf>
    <xf borderId="5" fillId="0" fontId="26" numFmtId="0" xfId="0" applyAlignment="1" applyBorder="1" applyFont="1">
      <alignment horizontal="center" shrinkToFit="0" vertical="bottom" wrapText="0"/>
    </xf>
    <xf borderId="61" fillId="0" fontId="26" numFmtId="0" xfId="0" applyAlignment="1" applyBorder="1" applyFont="1">
      <alignment horizontal="center" shrinkToFit="0" vertical="bottom" wrapText="0"/>
    </xf>
    <xf borderId="78" fillId="4" fontId="28" numFmtId="0" xfId="0" applyAlignment="1" applyBorder="1" applyFont="1">
      <alignment shrinkToFit="0" vertical="top" wrapText="0"/>
    </xf>
    <xf borderId="2" fillId="0" fontId="26" numFmtId="0" xfId="0" applyAlignment="1" applyBorder="1" applyFont="1">
      <alignment horizontal="left" shrinkToFit="0" vertical="top" wrapText="0"/>
    </xf>
    <xf borderId="5" fillId="0" fontId="26" numFmtId="0" xfId="0" applyAlignment="1" applyBorder="1" applyFont="1">
      <alignment shrinkToFit="0" vertical="bottom" wrapText="0"/>
    </xf>
    <xf borderId="5" fillId="0" fontId="26" numFmtId="166" xfId="0" applyAlignment="1" applyBorder="1" applyFont="1" applyNumberFormat="1">
      <alignment shrinkToFit="0" textRotation="255" vertical="top" wrapText="0"/>
    </xf>
    <xf borderId="61" fillId="0" fontId="26" numFmtId="166" xfId="0" applyAlignment="1" applyBorder="1" applyFont="1" applyNumberFormat="1">
      <alignment shrinkToFit="0" textRotation="255" vertical="top" wrapText="0"/>
    </xf>
    <xf borderId="79" fillId="4" fontId="28" numFmtId="0" xfId="0" applyAlignment="1" applyBorder="1" applyFont="1">
      <alignment shrinkToFit="0" vertical="top" wrapText="0"/>
    </xf>
    <xf borderId="74" fillId="0" fontId="26" numFmtId="0" xfId="0" applyAlignment="1" applyBorder="1" applyFont="1">
      <alignment horizontal="left" shrinkToFit="0" vertical="top" wrapText="0"/>
    </xf>
    <xf borderId="64" fillId="0" fontId="26" numFmtId="0" xfId="0" applyAlignment="1" applyBorder="1" applyFont="1">
      <alignment shrinkToFit="0" vertical="bottom" wrapText="0"/>
    </xf>
    <xf borderId="64" fillId="0" fontId="26" numFmtId="0" xfId="0" applyAlignment="1" applyBorder="1" applyFont="1">
      <alignment shrinkToFit="0" textRotation="255" vertical="bottom" wrapText="0"/>
    </xf>
    <xf borderId="65" fillId="0" fontId="26" numFmtId="0" xfId="0" applyAlignment="1" applyBorder="1" applyFont="1">
      <alignment shrinkToFit="0" textRotation="255" vertical="bottom" wrapText="0"/>
    </xf>
    <xf borderId="0" fillId="0" fontId="28" numFmtId="0" xfId="0" applyAlignment="1" applyFont="1">
      <alignment shrinkToFit="0" vertical="top" wrapText="0"/>
    </xf>
    <xf borderId="80" fillId="3" fontId="24" numFmtId="0" xfId="0" applyAlignment="1" applyBorder="1" applyFont="1">
      <alignment horizontal="left" shrinkToFit="0" vertical="bottom" wrapText="1"/>
    </xf>
    <xf borderId="35" fillId="3" fontId="24" numFmtId="0" xfId="0" applyAlignment="1" applyBorder="1" applyFont="1">
      <alignment horizontal="left" shrinkToFit="0" vertical="bottom" wrapText="1"/>
    </xf>
    <xf borderId="51" fillId="4" fontId="32" numFmtId="0" xfId="0" applyAlignment="1" applyBorder="1" applyFont="1">
      <alignment shrinkToFit="0" vertical="bottom" wrapText="0"/>
    </xf>
    <xf borderId="81" fillId="4" fontId="28" numFmtId="0" xfId="0" applyAlignment="1" applyBorder="1" applyFont="1">
      <alignment horizontal="left" shrinkToFit="0" vertical="bottom" wrapText="0"/>
    </xf>
    <xf borderId="81" fillId="4" fontId="32" numFmtId="0" xfId="0" applyAlignment="1" applyBorder="1" applyFont="1">
      <alignment shrinkToFit="0" vertical="bottom" wrapText="0"/>
    </xf>
    <xf borderId="81" fillId="4" fontId="32" numFmtId="0" xfId="0" applyAlignment="1" applyBorder="1" applyFont="1">
      <alignment horizontal="right" shrinkToFit="0" vertical="bottom" wrapText="0"/>
    </xf>
    <xf borderId="81" fillId="4" fontId="28" numFmtId="0" xfId="0" applyAlignment="1" applyBorder="1" applyFont="1">
      <alignment shrinkToFit="0" textRotation="180" vertical="top" wrapText="0"/>
    </xf>
    <xf borderId="82" fillId="4" fontId="28" numFmtId="0" xfId="0" applyAlignment="1" applyBorder="1" applyFont="1">
      <alignment shrinkToFit="0" textRotation="180" vertical="top" wrapText="0"/>
    </xf>
    <xf borderId="83" fillId="4" fontId="28" numFmtId="0" xfId="0" applyAlignment="1" applyBorder="1" applyFont="1">
      <alignment shrinkToFit="0" vertical="center" wrapText="0"/>
    </xf>
    <xf borderId="84" fillId="3" fontId="24" numFmtId="0" xfId="0" applyAlignment="1" applyBorder="1" applyFont="1">
      <alignment horizontal="left" shrinkToFit="0" vertical="top" wrapText="0"/>
    </xf>
    <xf borderId="85" fillId="3" fontId="26" numFmtId="0" xfId="0" applyAlignment="1" applyBorder="1" applyFont="1">
      <alignment horizontal="center" shrinkToFit="0" vertical="top" wrapText="0"/>
    </xf>
    <xf borderId="86" fillId="3" fontId="26" numFmtId="0" xfId="0" applyAlignment="1" applyBorder="1" applyFont="1">
      <alignment horizontal="right" shrinkToFit="0" vertical="top" wrapText="0"/>
    </xf>
    <xf borderId="87" fillId="6" fontId="25" numFmtId="0" xfId="0" applyAlignment="1" applyBorder="1" applyFill="1" applyFont="1">
      <alignment horizontal="right" shrinkToFit="0" vertical="bottom" wrapText="0"/>
    </xf>
    <xf borderId="5" fillId="0" fontId="29" numFmtId="0" xfId="0" applyAlignment="1" applyBorder="1" applyFont="1">
      <alignment horizontal="center" shrinkToFit="0" vertical="bottom" wrapText="0"/>
    </xf>
    <xf borderId="61" fillId="0" fontId="29" numFmtId="0" xfId="0" applyAlignment="1" applyBorder="1" applyFont="1">
      <alignment horizontal="center" shrinkToFit="0" vertical="bottom" wrapText="0"/>
    </xf>
    <xf borderId="78" fillId="4" fontId="28" numFmtId="0" xfId="0" applyAlignment="1" applyBorder="1" applyFont="1">
      <alignment shrinkToFit="0" vertical="center" wrapText="0"/>
    </xf>
    <xf borderId="1" fillId="6" fontId="25" numFmtId="0" xfId="0" applyAlignment="1" applyBorder="1" applyFont="1">
      <alignment horizontal="right" shrinkToFit="0" vertical="bottom" wrapText="0"/>
    </xf>
    <xf borderId="5" fillId="0" fontId="29" numFmtId="0" xfId="0" applyAlignment="1" applyBorder="1" applyFont="1">
      <alignment horizontal="center" readingOrder="0" shrinkToFit="0" vertical="bottom" wrapText="0"/>
    </xf>
    <xf borderId="0" fillId="0" fontId="26" numFmtId="0" xfId="0" applyAlignment="1" applyFont="1">
      <alignment shrinkToFit="0" vertical="top" wrapText="0"/>
    </xf>
    <xf borderId="1" fillId="6" fontId="26" numFmtId="0" xfId="0" applyAlignment="1" applyBorder="1" applyFont="1">
      <alignment horizontal="right" shrinkToFit="0" vertical="bottom" wrapText="0"/>
    </xf>
    <xf borderId="0" fillId="0" fontId="33" numFmtId="0" xfId="0" applyAlignment="1" applyFont="1">
      <alignment horizontal="center" shrinkToFit="0" vertical="bottom" wrapText="0"/>
    </xf>
    <xf borderId="88" fillId="3" fontId="24" numFmtId="0" xfId="0" applyAlignment="1" applyBorder="1" applyFont="1">
      <alignment horizontal="left" shrinkToFit="0" vertical="top" wrapText="0"/>
    </xf>
    <xf borderId="89" fillId="3" fontId="26" numFmtId="0" xfId="0" applyAlignment="1" applyBorder="1" applyFont="1">
      <alignment horizontal="center" shrinkToFit="0" vertical="top" wrapText="0"/>
    </xf>
    <xf borderId="90" fillId="3" fontId="26" numFmtId="0" xfId="0" applyAlignment="1" applyBorder="1" applyFont="1">
      <alignment horizontal="right" shrinkToFit="0" vertical="top" wrapText="0"/>
    </xf>
    <xf borderId="91" fillId="6" fontId="26" numFmtId="0" xfId="0" applyAlignment="1" applyBorder="1" applyFont="1">
      <alignment horizontal="right" shrinkToFit="0" vertical="bottom" wrapText="0"/>
    </xf>
    <xf borderId="64" fillId="0" fontId="29" numFmtId="0" xfId="0" applyAlignment="1" applyBorder="1" applyFont="1">
      <alignment horizontal="center" shrinkToFit="0" vertical="bottom" wrapText="0"/>
    </xf>
    <xf borderId="65" fillId="0" fontId="29" numFmtId="0" xfId="0" applyAlignment="1" applyBorder="1" applyFont="1">
      <alignment horizontal="center" shrinkToFit="0" vertical="bottom" wrapText="0"/>
    </xf>
    <xf borderId="83" fillId="4" fontId="28" numFmtId="0" xfId="0" applyAlignment="1" applyBorder="1" applyFont="1">
      <alignment shrinkToFit="0" vertical="top" wrapText="0"/>
    </xf>
    <xf borderId="92" fillId="3" fontId="24" numFmtId="0" xfId="0" applyAlignment="1" applyBorder="1" applyFont="1">
      <alignment shrinkToFit="0" vertical="bottom" wrapText="0"/>
    </xf>
    <xf borderId="40" fillId="3" fontId="24" numFmtId="0" xfId="0" applyAlignment="1" applyBorder="1" applyFont="1">
      <alignment shrinkToFit="0" vertical="bottom" wrapText="0"/>
    </xf>
    <xf borderId="93" fillId="3" fontId="26" numFmtId="0" xfId="0" applyAlignment="1" applyBorder="1" applyFont="1">
      <alignment horizontal="right" shrinkToFit="0" vertical="bottom" wrapText="0"/>
    </xf>
    <xf borderId="94" fillId="6" fontId="26" numFmtId="0" xfId="0" applyAlignment="1" applyBorder="1" applyFont="1">
      <alignment horizontal="left" shrinkToFit="0" vertical="bottom" wrapText="0"/>
    </xf>
    <xf borderId="56" fillId="0" fontId="29" numFmtId="0" xfId="0" applyAlignment="1" applyBorder="1" applyFont="1">
      <alignment horizontal="center" shrinkToFit="0" vertical="bottom" wrapText="0"/>
    </xf>
    <xf borderId="57" fillId="0" fontId="29" numFmtId="0" xfId="0" applyAlignment="1" applyBorder="1" applyFont="1">
      <alignment horizontal="center" shrinkToFit="0" vertical="bottom" wrapText="0"/>
    </xf>
    <xf borderId="84" fillId="3" fontId="24" numFmtId="0" xfId="0" applyAlignment="1" applyBorder="1" applyFont="1">
      <alignment shrinkToFit="0" vertical="bottom" wrapText="0"/>
    </xf>
    <xf borderId="85" fillId="3" fontId="26" numFmtId="0" xfId="0" applyAlignment="1" applyBorder="1" applyFont="1">
      <alignment shrinkToFit="0" vertical="bottom" wrapText="0"/>
    </xf>
    <xf borderId="86" fillId="3" fontId="26" numFmtId="0" xfId="0" applyAlignment="1" applyBorder="1" applyFont="1">
      <alignment horizontal="right" shrinkToFit="0" vertical="bottom" wrapText="0"/>
    </xf>
    <xf borderId="5" fillId="6" fontId="26" numFmtId="0" xfId="0" applyAlignment="1" applyBorder="1" applyFont="1">
      <alignment horizontal="left" shrinkToFit="0" vertical="bottom" wrapText="0"/>
    </xf>
    <xf borderId="85" fillId="3" fontId="27" numFmtId="0" xfId="0" applyAlignment="1" applyBorder="1" applyFont="1">
      <alignment shrinkToFit="0" vertical="bottom" wrapText="0"/>
    </xf>
    <xf borderId="5" fillId="6" fontId="26" numFmtId="0" xfId="0" applyAlignment="1" applyBorder="1" applyFont="1">
      <alignment shrinkToFit="0" vertical="bottom" wrapText="0"/>
    </xf>
    <xf borderId="95" fillId="3" fontId="24" numFmtId="0" xfId="0" applyAlignment="1" applyBorder="1" applyFont="1">
      <alignment shrinkToFit="0" vertical="bottom" wrapText="0"/>
    </xf>
    <xf borderId="87" fillId="3" fontId="26" numFmtId="0" xfId="0" applyAlignment="1" applyBorder="1" applyFont="1">
      <alignment shrinkToFit="0" vertical="bottom" wrapText="0"/>
    </xf>
    <xf borderId="96" fillId="3" fontId="26" numFmtId="0" xfId="0" applyAlignment="1" applyBorder="1" applyFont="1">
      <alignment horizontal="right" shrinkToFit="0" vertical="bottom" wrapText="0"/>
    </xf>
    <xf borderId="97" fillId="6" fontId="26" numFmtId="0" xfId="0" applyAlignment="1" applyBorder="1" applyFont="1">
      <alignment horizontal="left" shrinkToFit="0" vertical="bottom" wrapText="0"/>
    </xf>
    <xf borderId="69" fillId="0" fontId="29" numFmtId="0" xfId="0" applyAlignment="1" applyBorder="1" applyFont="1">
      <alignment horizontal="center" shrinkToFit="0" vertical="bottom" wrapText="0"/>
    </xf>
    <xf borderId="70" fillId="0" fontId="29" numFmtId="0" xfId="0" applyAlignment="1" applyBorder="1" applyFont="1">
      <alignment horizontal="center" shrinkToFit="0" vertical="bottom" wrapText="0"/>
    </xf>
    <xf borderId="98" fillId="0" fontId="26" numFmtId="0" xfId="0" applyAlignment="1" applyBorder="1" applyFont="1">
      <alignment horizontal="left" shrinkToFit="0" vertical="bottom" wrapText="0"/>
    </xf>
    <xf borderId="71" fillId="0" fontId="26" numFmtId="0" xfId="0" applyAlignment="1" applyBorder="1" applyFont="1">
      <alignment horizontal="left" shrinkToFit="0" vertical="bottom" wrapText="0"/>
    </xf>
    <xf borderId="71" fillId="0" fontId="31" numFmtId="0" xfId="0" applyAlignment="1" applyBorder="1" applyFont="1">
      <alignment horizontal="center" shrinkToFit="0" vertical="bottom" wrapText="0"/>
    </xf>
    <xf borderId="72" fillId="0" fontId="31" numFmtId="0" xfId="0" applyAlignment="1" applyBorder="1" applyFont="1">
      <alignment horizontal="center" shrinkToFit="0" vertical="bottom" wrapText="0"/>
    </xf>
    <xf borderId="2" fillId="0" fontId="26" numFmtId="0" xfId="0" applyAlignment="1" applyBorder="1" applyFont="1">
      <alignment horizontal="left" shrinkToFit="0" vertical="bottom" wrapText="0"/>
    </xf>
    <xf borderId="5" fillId="0" fontId="34" numFmtId="0" xfId="0" applyAlignment="1" applyBorder="1" applyFont="1">
      <alignment horizontal="left" shrinkToFit="0" vertical="bottom" wrapText="0"/>
    </xf>
    <xf borderId="5" fillId="0" fontId="31" numFmtId="0" xfId="0" applyAlignment="1" applyBorder="1" applyFont="1">
      <alignment horizontal="center" shrinkToFit="0" vertical="bottom" wrapText="0"/>
    </xf>
    <xf borderId="61" fillId="0" fontId="31" numFmtId="0" xfId="0" applyAlignment="1" applyBorder="1" applyFont="1">
      <alignment horizontal="center" shrinkToFit="0" vertical="bottom" wrapText="0"/>
    </xf>
    <xf borderId="52" fillId="4" fontId="28" numFmtId="0" xfId="0" applyAlignment="1" applyBorder="1" applyFont="1">
      <alignment horizontal="left" shrinkToFit="0" vertical="bottom" wrapText="0"/>
    </xf>
    <xf borderId="52" fillId="4" fontId="32" numFmtId="0" xfId="0" applyAlignment="1" applyBorder="1" applyFont="1">
      <alignment shrinkToFit="0" vertical="bottom" wrapText="0"/>
    </xf>
    <xf borderId="52" fillId="4" fontId="32" numFmtId="0" xfId="0" applyAlignment="1" applyBorder="1" applyFont="1">
      <alignment horizontal="right" shrinkToFit="0" vertical="bottom" wrapText="0"/>
    </xf>
    <xf borderId="52" fillId="4" fontId="28" numFmtId="0" xfId="0" applyAlignment="1" applyBorder="1" applyFont="1">
      <alignment shrinkToFit="0" textRotation="180" vertical="top" wrapText="0"/>
    </xf>
    <xf borderId="99" fillId="4" fontId="28" numFmtId="0" xfId="0" applyAlignment="1" applyBorder="1" applyFont="1">
      <alignment shrinkToFit="0" textRotation="180" vertical="top" wrapText="0"/>
    </xf>
    <xf borderId="84" fillId="3" fontId="24" numFmtId="0" xfId="0" applyAlignment="1" applyBorder="1" applyFont="1">
      <alignment horizontal="right" shrinkToFit="0" vertical="bottom" wrapText="0"/>
    </xf>
    <xf borderId="100" fillId="4" fontId="28" numFmtId="0" xfId="0" applyAlignment="1" applyBorder="1" applyFont="1">
      <alignment shrinkToFit="0" vertical="top" wrapText="0"/>
    </xf>
    <xf borderId="101" fillId="4" fontId="28" numFmtId="0" xfId="0" applyAlignment="1" applyBorder="1" applyFont="1">
      <alignment shrinkToFit="0" vertical="top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  <a:r>
              <a:rPr b="1" i="0" sz="900">
                <a:solidFill>
                  <a:srgbClr val="000000"/>
                </a:solidFill>
                <a:latin typeface="+mn-lt"/>
              </a:rPr>
              <a:t>Test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Statistics!$F$11:$H$11</c:f>
            </c:strRef>
          </c:cat>
          <c:val>
            <c:numRef>
              <c:f>Statistics!$F$16:$H$16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  <a:r>
              <a:rPr b="1" i="0" sz="1100">
                <a:solidFill>
                  <a:srgbClr val="000000"/>
                </a:solidFill>
                <a:latin typeface="+mn-lt"/>
              </a:rPr>
              <a:t>Passed Percent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Statistics!$C$11:$E$11</c:f>
            </c:strRef>
          </c:cat>
          <c:val>
            <c:numRef>
              <c:f>Statistics!$C$16:$E$16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533400</xdr:colOff>
      <xdr:row>23</xdr:row>
      <xdr:rowOff>0</xdr:rowOff>
    </xdr:from>
    <xdr:ext cx="3714750" cy="2438400"/>
    <xdr:graphicFrame>
      <xdr:nvGraphicFramePr>
        <xdr:cNvPr descr="Chart 0" id="14166469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104775</xdr:colOff>
      <xdr:row>23</xdr:row>
      <xdr:rowOff>19050</xdr:rowOff>
    </xdr:from>
    <xdr:ext cx="4248150" cy="2409825"/>
    <xdr:graphicFrame>
      <xdr:nvGraphicFramePr>
        <xdr:cNvPr descr="Chart 1" id="61885685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://p.name/" TargetMode="External"/><Relationship Id="rId3" Type="http://schemas.openxmlformats.org/officeDocument/2006/relationships/drawing" Target="../drawings/drawing5.xml"/><Relationship Id="rId4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9.38"/>
    <col customWidth="1" min="2" max="6" width="9.0"/>
    <col customWidth="1" min="7" max="26" width="8.0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5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8.25" customHeight="1">
      <c r="A6" s="7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9.25" customHeight="1">
      <c r="A7" s="7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0.0" customHeight="1">
      <c r="A8" s="7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8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6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7.25" customHeight="1">
      <c r="A11" s="3" t="s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0" t="s">
        <v>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8.25" customHeight="1">
      <c r="A13" s="5" t="s">
        <v>10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3.5" customHeight="1">
      <c r="A14" s="5" t="s">
        <v>11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3.5" customHeight="1">
      <c r="A15" s="7" t="s">
        <v>12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3.5" customHeight="1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0" customHeight="1">
      <c r="A17" s="10" t="s">
        <v>13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3.5" customHeight="1">
      <c r="A18" s="5" t="s">
        <v>14</v>
      </c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3.5" customHeight="1">
      <c r="A19" s="10" t="s">
        <v>15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3.5" customHeight="1">
      <c r="A20" s="5" t="s">
        <v>16</v>
      </c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5.5" customHeight="1">
      <c r="A21" s="7" t="s">
        <v>17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3.5" customHeight="1">
      <c r="A22" s="5" t="s">
        <v>18</v>
      </c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3.5" customHeight="1">
      <c r="A23" s="5" t="s">
        <v>19</v>
      </c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3.5" customHeight="1">
      <c r="A24" s="5" t="s">
        <v>20</v>
      </c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3.5" customHeight="1">
      <c r="A25" s="5" t="s">
        <v>21</v>
      </c>
      <c r="B25" s="5"/>
      <c r="C25" s="5" t="s">
        <v>22</v>
      </c>
      <c r="D25" s="5" t="s">
        <v>22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3.5" customHeight="1">
      <c r="A26" s="5" t="s">
        <v>23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3.5" customHeight="1">
      <c r="A27" s="5" t="s">
        <v>24</v>
      </c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3.5" customHeight="1">
      <c r="A28" s="5" t="s">
        <v>25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3.5" customHeight="1">
      <c r="A29" s="5" t="s">
        <v>26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3.5" customHeight="1">
      <c r="A30" s="5" t="s">
        <v>27</v>
      </c>
      <c r="B30" s="5"/>
      <c r="C30" s="5" t="s">
        <v>22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3.5" customHeight="1">
      <c r="A31" s="10" t="s">
        <v>28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30.0" customHeight="1">
      <c r="A32" s="7" t="s">
        <v>29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3.5" customHeight="1">
      <c r="A33" s="5" t="s">
        <v>30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3.5" customHeight="1">
      <c r="A34" s="5" t="s">
        <v>31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3.5" customHeight="1">
      <c r="A35" s="5" t="s">
        <v>32</v>
      </c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3.5" customHeight="1">
      <c r="A36" s="5" t="s">
        <v>33</v>
      </c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3.5" customHeight="1">
      <c r="A37" s="10" t="s">
        <v>34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3.5" customHeight="1">
      <c r="A38" s="5" t="s">
        <v>35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38.25" customHeight="1">
      <c r="A39" s="7" t="s">
        <v>36</v>
      </c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3.5" customHeight="1">
      <c r="A40" s="7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0" customHeight="1">
      <c r="A41" s="10" t="s">
        <v>37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3.5" customHeight="1">
      <c r="A42" s="5" t="s">
        <v>38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3.5" customHeight="1">
      <c r="A43" s="5" t="s">
        <v>39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3.5" customHeight="1">
      <c r="A44" s="5" t="s">
        <v>40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3.5" customHeight="1">
      <c r="A45" s="5" t="s">
        <v>41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3.5" customHeight="1">
      <c r="A46" s="5" t="s">
        <v>42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3.5" customHeight="1">
      <c r="A47" s="5" t="s">
        <v>43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3.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3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3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3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3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3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3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10.0"/>
    <col customWidth="1" min="3" max="3" width="14.38"/>
    <col customWidth="1" min="4" max="4" width="8.0"/>
    <col customWidth="1" min="5" max="5" width="38.0"/>
    <col customWidth="1" min="6" max="6" width="48.13"/>
    <col customWidth="1" min="7" max="26" width="8.0"/>
  </cols>
  <sheetData>
    <row r="1" ht="12.75" customHeight="1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75.75" customHeight="1">
      <c r="A2" s="14"/>
      <c r="B2" s="15" t="s">
        <v>44</v>
      </c>
      <c r="C2" s="16"/>
      <c r="D2" s="16"/>
      <c r="E2" s="16"/>
      <c r="F2" s="17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2.75" customHeight="1">
      <c r="A3" s="19"/>
      <c r="B3" s="20"/>
      <c r="C3" s="13"/>
      <c r="D3" s="13"/>
      <c r="E3" s="21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22" t="s">
        <v>45</v>
      </c>
      <c r="B4" s="23" t="s">
        <v>46</v>
      </c>
      <c r="C4" s="16"/>
      <c r="D4" s="17"/>
      <c r="E4" s="22" t="s">
        <v>47</v>
      </c>
      <c r="F4" s="24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customHeight="1">
      <c r="A5" s="22" t="s">
        <v>48</v>
      </c>
      <c r="B5" s="23" t="s">
        <v>49</v>
      </c>
      <c r="C5" s="16"/>
      <c r="D5" s="17"/>
      <c r="E5" s="22" t="s">
        <v>50</v>
      </c>
      <c r="F5" s="25" t="s">
        <v>51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26" t="s">
        <v>52</v>
      </c>
      <c r="B6" s="27" t="str">
        <f>B5&amp;"_"&amp;"XXX"&amp;"_"&amp;"vx.x"</f>
        <v>&lt;Project Code&gt;_XXX_vx.x</v>
      </c>
      <c r="C6" s="16"/>
      <c r="D6" s="17"/>
      <c r="E6" s="22" t="s">
        <v>53</v>
      </c>
      <c r="F6" s="28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2.75" customHeight="1">
      <c r="A7" s="29"/>
      <c r="B7" s="20"/>
      <c r="C7" s="13"/>
      <c r="D7" s="13"/>
      <c r="E7" s="30"/>
      <c r="F7" s="20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2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2.75" customHeight="1">
      <c r="A9" s="31" t="s">
        <v>54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2.75" customHeight="1">
      <c r="A10" s="32" t="s">
        <v>55</v>
      </c>
      <c r="B10" s="33" t="s">
        <v>53</v>
      </c>
      <c r="C10" s="33" t="s">
        <v>56</v>
      </c>
      <c r="D10" s="33" t="s">
        <v>57</v>
      </c>
      <c r="E10" s="33" t="s">
        <v>58</v>
      </c>
      <c r="F10" s="34" t="s">
        <v>59</v>
      </c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26.25" customHeight="1">
      <c r="A11" s="36" t="s">
        <v>60</v>
      </c>
      <c r="B11" s="37"/>
      <c r="C11" s="38"/>
      <c r="D11" s="38"/>
      <c r="E11" s="39"/>
      <c r="F11" s="40" t="s">
        <v>61</v>
      </c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21.75" customHeight="1">
      <c r="A12" s="42"/>
      <c r="B12" s="37"/>
      <c r="C12" s="38"/>
      <c r="D12" s="38"/>
      <c r="E12" s="38"/>
      <c r="F12" s="43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19.5" customHeight="1">
      <c r="A13" s="42"/>
      <c r="B13" s="37"/>
      <c r="C13" s="38"/>
      <c r="D13" s="38"/>
      <c r="E13" s="38"/>
      <c r="F13" s="43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21.75" customHeight="1">
      <c r="A14" s="42"/>
      <c r="B14" s="37"/>
      <c r="C14" s="38"/>
      <c r="D14" s="38"/>
      <c r="E14" s="38"/>
      <c r="F14" s="43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19.5" customHeight="1">
      <c r="A15" s="42"/>
      <c r="B15" s="37"/>
      <c r="C15" s="38"/>
      <c r="D15" s="38"/>
      <c r="E15" s="38"/>
      <c r="F15" s="43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21.75" customHeight="1">
      <c r="A16" s="42"/>
      <c r="B16" s="37"/>
      <c r="C16" s="38"/>
      <c r="D16" s="38"/>
      <c r="E16" s="38"/>
      <c r="F16" s="43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19.5" customHeight="1">
      <c r="A17" s="44"/>
      <c r="B17" s="45"/>
      <c r="C17" s="46"/>
      <c r="D17" s="46"/>
      <c r="E17" s="46"/>
      <c r="F17" s="47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2.75" customHeight="1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2.75" customHeight="1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2.75" customHeight="1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2.75" customHeight="1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2.75" customHeight="1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2.75" customHeight="1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2.75" customHeight="1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2.75" customHeight="1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2.75" customHeight="1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2.75" customHeight="1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2.75" customHeight="1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2.75" customHeight="1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2.75" customHeight="1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2.75" customHeight="1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2.75" customHeight="1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2.75" customHeight="1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2.75" customHeight="1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2.75" customHeight="1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2.75" customHeight="1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2.75" customHeight="1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2.75" customHeight="1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2.75" customHeight="1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2.75" customHeight="1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2.75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2.75" customHeight="1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2.75" customHeight="1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2.75" customHeight="1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2.75" customHeight="1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2.75" customHeight="1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2.75" customHeight="1">
      <c r="A48" s="1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customHeight="1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2.75" customHeight="1">
      <c r="A50" s="1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>
      <c r="A51" s="1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2.75" customHeight="1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2.75" customHeight="1">
      <c r="A53" s="1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2.75" customHeight="1">
      <c r="A54" s="1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customHeight="1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2.75" customHeight="1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2.75" customHeight="1">
      <c r="A58" s="1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2.75" customHeight="1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2.75" customHeight="1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2.75" customHeight="1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2.75" customHeight="1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2.75" customHeight="1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customHeight="1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customHeight="1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2.75" customHeight="1">
      <c r="A66" s="1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2.75" customHeight="1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customHeight="1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customHeight="1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customHeight="1">
      <c r="A70" s="1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customHeight="1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customHeight="1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customHeight="1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customHeight="1">
      <c r="A74" s="1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customHeight="1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2.75" customHeight="1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customHeight="1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customHeight="1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customHeight="1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customHeight="1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customHeight="1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2.75" customHeight="1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75" customHeight="1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75" customHeight="1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2.75" customHeight="1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customHeight="1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customHeight="1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customHeight="1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2.75" customHeight="1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customHeight="1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customHeight="1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customHeight="1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customHeight="1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customHeight="1">
      <c r="A94" s="1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customHeight="1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customHeight="1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customHeight="1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customHeight="1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customHeight="1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2.75" customHeight="1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customHeight="1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customHeight="1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2.75" customHeight="1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2.75" customHeight="1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2.75" customHeight="1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2.75" customHeight="1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2.75" customHeight="1">
      <c r="A109" s="1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2.75" customHeight="1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2.75" customHeight="1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2.75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2.75" customHeight="1">
      <c r="A114" s="1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2.75" customHeight="1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customHeight="1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2.75" customHeight="1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2.75" customHeight="1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2.75" customHeight="1">
      <c r="A119" s="1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2.75" customHeight="1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customHeight="1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customHeight="1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customHeight="1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customHeight="1">
      <c r="A124" s="1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customHeight="1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customHeight="1">
      <c r="A126" s="1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customHeight="1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2.75" customHeight="1">
      <c r="A129" s="1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customHeight="1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customHeight="1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customHeight="1">
      <c r="A132" s="1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2.75" customHeight="1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customHeight="1">
      <c r="A134" s="1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customHeight="1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customHeight="1">
      <c r="A136" s="1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customHeight="1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customHeight="1">
      <c r="A138" s="1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2.75" customHeight="1">
      <c r="A139" s="1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2.75" customHeight="1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2.75" customHeight="1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2.75" customHeight="1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2.75" customHeight="1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2.75" customHeight="1">
      <c r="A144" s="1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2.75" customHeight="1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2.75" customHeight="1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2.75" customHeight="1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2.75" customHeight="1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2.75" customHeight="1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customHeight="1">
      <c r="A150" s="1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2.75" customHeight="1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2.75" customHeight="1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2.75" customHeight="1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2.75" customHeight="1">
      <c r="A154" s="1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2.75" customHeight="1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2.75" customHeight="1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2.75" customHeight="1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2.75" customHeight="1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2.75" customHeight="1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2.75" customHeight="1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75" customHeight="1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75" customHeight="1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2.75" customHeight="1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2.75" customHeight="1">
      <c r="A164" s="1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2.75" customHeight="1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customHeight="1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2.75" customHeight="1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2.75" customHeight="1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2.75" customHeight="1">
      <c r="A169" s="1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2.75" customHeight="1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2.75" customHeight="1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customHeight="1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customHeight="1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customHeight="1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customHeight="1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customHeight="1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customHeight="1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customHeight="1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customHeight="1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customHeight="1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customHeight="1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customHeight="1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customHeight="1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customHeight="1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customHeight="1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customHeight="1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customHeight="1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customHeight="1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customHeight="1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customHeight="1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customHeight="1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customHeight="1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customHeight="1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customHeight="1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customHeight="1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customHeight="1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customHeight="1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2.75" customHeight="1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2.75" customHeight="1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2.75" customHeight="1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2.75" customHeight="1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2.75" customHeight="1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2.75" customHeight="1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2.75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2.75" customHeight="1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2.75" customHeight="1">
      <c r="A209" s="1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2.75" customHeight="1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2.75" customHeight="1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2.75" customHeight="1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2.75" customHeight="1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2.75" customHeight="1">
      <c r="A214" s="1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2.75" customHeight="1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2.75" customHeight="1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2.75" customHeight="1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customHeight="1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customHeight="1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customHeight="1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2.75" customHeight="1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2.75" customHeight="1">
      <c r="A222" s="1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2.75" customHeight="1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2.75" customHeight="1">
      <c r="A224" s="1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2.75" customHeight="1">
      <c r="A225" s="1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2.75" customHeight="1">
      <c r="A226" s="1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2.75" customHeight="1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2.75" customHeight="1">
      <c r="A228" s="1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2.75" customHeight="1">
      <c r="A229" s="1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2.75" customHeight="1">
      <c r="A230" s="1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2.75" customHeight="1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2.75" customHeight="1">
      <c r="A232" s="1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2.75" customHeight="1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2.75" customHeight="1">
      <c r="A234" s="12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2.75" customHeight="1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2.75" customHeight="1">
      <c r="A236" s="12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2.75" customHeight="1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2.75" customHeight="1">
      <c r="A238" s="12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2.75" customHeight="1">
      <c r="A239" s="12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2.75" customHeight="1">
      <c r="A240" s="12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2.75" customHeight="1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2.75" customHeight="1">
      <c r="A242" s="12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2.75" customHeight="1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2.75" customHeight="1">
      <c r="A244" s="12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2.75" customHeight="1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2.75" customHeight="1">
      <c r="A246" s="12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2.75" customHeight="1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2.75" customHeight="1">
      <c r="A248" s="12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2.75" customHeight="1">
      <c r="A249" s="12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2.75" customHeight="1">
      <c r="A250" s="12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2.75" customHeight="1">
      <c r="A251" s="12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2.75" customHeight="1">
      <c r="A252" s="12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2.75" customHeight="1">
      <c r="A253" s="12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2.75" customHeight="1">
      <c r="A254" s="12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2.75" customHeight="1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2.75" customHeight="1">
      <c r="A256" s="12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2.75" customHeight="1">
      <c r="A257" s="12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2.75" customHeight="1">
      <c r="A258" s="12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2.75" customHeight="1">
      <c r="A259" s="12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2.75" customHeight="1">
      <c r="A260" s="12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2.75" customHeight="1">
      <c r="A261" s="12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2.75" customHeight="1">
      <c r="A262" s="12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2.75" customHeight="1">
      <c r="A263" s="12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2.75" customHeight="1">
      <c r="A264" s="12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2.75" customHeight="1">
      <c r="A265" s="12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2.75" customHeight="1">
      <c r="A266" s="12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2.75" customHeight="1">
      <c r="A267" s="12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2.75" customHeight="1">
      <c r="A268" s="12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2.75" customHeight="1">
      <c r="A269" s="12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2.75" customHeight="1">
      <c r="A270" s="12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2.75" customHeight="1">
      <c r="A271" s="12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2.75" customHeight="1">
      <c r="A272" s="12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2.75" customHeight="1">
      <c r="A273" s="12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2.75" customHeight="1">
      <c r="A274" s="12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2.75" customHeight="1">
      <c r="A275" s="12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2.75" customHeight="1">
      <c r="A276" s="12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2.75" customHeight="1">
      <c r="A277" s="12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2.75" customHeight="1">
      <c r="A278" s="12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2.75" customHeight="1">
      <c r="A279" s="12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2.75" customHeight="1">
      <c r="A280" s="12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2.75" customHeight="1">
      <c r="A281" s="12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2.75" customHeight="1">
      <c r="A282" s="12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2.75" customHeight="1">
      <c r="A283" s="12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2.75" customHeight="1">
      <c r="A284" s="12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2.75" customHeight="1">
      <c r="A285" s="12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2.75" customHeight="1">
      <c r="A286" s="12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2.75" customHeight="1">
      <c r="A287" s="12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2.75" customHeight="1">
      <c r="A288" s="12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2.75" customHeight="1">
      <c r="A289" s="12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2.75" customHeight="1">
      <c r="A290" s="12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2.75" customHeight="1">
      <c r="A291" s="12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2.75" customHeight="1">
      <c r="A292" s="12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2.75" customHeight="1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2.75" customHeight="1">
      <c r="A294" s="12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2.75" customHeight="1">
      <c r="A295" s="12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2.75" customHeight="1">
      <c r="A296" s="12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2.75" customHeight="1">
      <c r="A297" s="12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2.75" customHeight="1">
      <c r="A298" s="12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2.75" customHeight="1">
      <c r="A299" s="12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2.75" customHeight="1">
      <c r="A300" s="12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2.75" customHeight="1">
      <c r="A301" s="12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2.75" customHeight="1">
      <c r="A302" s="12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2.75" customHeight="1">
      <c r="A303" s="12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2.75" customHeight="1">
      <c r="A304" s="12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2.75" customHeight="1">
      <c r="A305" s="12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2.75" customHeight="1">
      <c r="A306" s="12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2.75" customHeight="1">
      <c r="A307" s="12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2.75" customHeight="1">
      <c r="A308" s="12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2.75" customHeight="1">
      <c r="A309" s="12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2.75" customHeight="1">
      <c r="A310" s="12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2.75" customHeight="1">
      <c r="A311" s="12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2.75" customHeight="1">
      <c r="A312" s="12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2.75" customHeight="1">
      <c r="A313" s="12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2.75" customHeight="1">
      <c r="A314" s="12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2.75" customHeight="1">
      <c r="A315" s="12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2.75" customHeight="1">
      <c r="A316" s="12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2.75" customHeight="1">
      <c r="A317" s="12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2.75" customHeight="1">
      <c r="A318" s="12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2.75" customHeight="1">
      <c r="A319" s="12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2.75" customHeight="1">
      <c r="A320" s="12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2.75" customHeight="1">
      <c r="A321" s="12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2.75" customHeight="1">
      <c r="A322" s="12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2.75" customHeight="1">
      <c r="A323" s="12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2.75" customHeight="1">
      <c r="A324" s="12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2.75" customHeight="1">
      <c r="A325" s="12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2.75" customHeight="1">
      <c r="A326" s="12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2.75" customHeight="1">
      <c r="A327" s="12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2.75" customHeight="1">
      <c r="A328" s="12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2.75" customHeight="1">
      <c r="A329" s="12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2.75" customHeight="1">
      <c r="A330" s="12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2.75" customHeight="1">
      <c r="A331" s="1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2.75" customHeight="1">
      <c r="A332" s="12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2.75" customHeight="1">
      <c r="A333" s="12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2.75" customHeight="1">
      <c r="A334" s="12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2.75" customHeight="1">
      <c r="A335" s="12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2.75" customHeight="1">
      <c r="A336" s="12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2.75" customHeight="1">
      <c r="A337" s="12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2.75" customHeight="1">
      <c r="A338" s="12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2.75" customHeight="1">
      <c r="A339" s="12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2.75" customHeight="1">
      <c r="A340" s="12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2.75" customHeight="1">
      <c r="A341" s="12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2.75" customHeight="1">
      <c r="A342" s="12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2.75" customHeight="1">
      <c r="A343" s="12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2.75" customHeight="1">
      <c r="A344" s="12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2.75" customHeight="1">
      <c r="A345" s="12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2.75" customHeight="1">
      <c r="A346" s="12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2.75" customHeight="1">
      <c r="A347" s="12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2.75" customHeight="1">
      <c r="A348" s="12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2.75" customHeight="1">
      <c r="A349" s="12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2.75" customHeight="1">
      <c r="A350" s="12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2.75" customHeight="1">
      <c r="A351" s="12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2.75" customHeight="1">
      <c r="A352" s="12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2.75" customHeight="1">
      <c r="A353" s="12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2.75" customHeight="1">
      <c r="A354" s="12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2.75" customHeight="1">
      <c r="A355" s="12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2.75" customHeight="1">
      <c r="A356" s="12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2.75" customHeight="1">
      <c r="A357" s="12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2.75" customHeight="1">
      <c r="A358" s="12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2.75" customHeight="1">
      <c r="A359" s="12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2.75" customHeight="1">
      <c r="A360" s="12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2.75" customHeight="1">
      <c r="A361" s="12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2.75" customHeight="1">
      <c r="A362" s="12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2.75" customHeight="1">
      <c r="A363" s="12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2.75" customHeight="1">
      <c r="A364" s="12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2.75" customHeight="1">
      <c r="A365" s="12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2.75" customHeight="1">
      <c r="A366" s="12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2.75" customHeight="1">
      <c r="A367" s="12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2.75" customHeight="1">
      <c r="A368" s="12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2.75" customHeight="1">
      <c r="A369" s="12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2.75" customHeight="1">
      <c r="A370" s="12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2.75" customHeight="1">
      <c r="A371" s="12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2.75" customHeight="1">
      <c r="A372" s="12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2.75" customHeight="1">
      <c r="A373" s="12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2.75" customHeight="1">
      <c r="A374" s="12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2.75" customHeight="1">
      <c r="A375" s="12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2.75" customHeight="1">
      <c r="A376" s="12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2.75" customHeight="1">
      <c r="A377" s="12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2.75" customHeight="1">
      <c r="A378" s="12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2.75" customHeight="1">
      <c r="A379" s="12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2.75" customHeight="1">
      <c r="A380" s="12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2.75" customHeight="1">
      <c r="A381" s="12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2.75" customHeight="1">
      <c r="A382" s="12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2.75" customHeight="1">
      <c r="A383" s="12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2.75" customHeight="1">
      <c r="A384" s="12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2.75" customHeight="1">
      <c r="A385" s="12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2.75" customHeight="1">
      <c r="A386" s="12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2.75" customHeight="1">
      <c r="A387" s="12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2.75" customHeight="1">
      <c r="A388" s="12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2.75" customHeight="1">
      <c r="A389" s="12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2.75" customHeight="1">
      <c r="A390" s="12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2.75" customHeight="1">
      <c r="A391" s="12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2.75" customHeight="1">
      <c r="A392" s="12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2.75" customHeight="1">
      <c r="A393" s="12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2.75" customHeight="1">
      <c r="A394" s="12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2.75" customHeight="1">
      <c r="A395" s="12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2.75" customHeight="1">
      <c r="A396" s="12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2.75" customHeight="1">
      <c r="A397" s="12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2.75" customHeight="1">
      <c r="A398" s="12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2.75" customHeight="1">
      <c r="A399" s="12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2.75" customHeight="1">
      <c r="A400" s="12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2.75" customHeight="1">
      <c r="A401" s="12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2.75" customHeight="1">
      <c r="A402" s="12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2.75" customHeight="1">
      <c r="A403" s="12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2.75" customHeight="1">
      <c r="A404" s="12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2.75" customHeight="1">
      <c r="A405" s="12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2.75" customHeight="1">
      <c r="A406" s="12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2.75" customHeight="1">
      <c r="A407" s="12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2.75" customHeight="1">
      <c r="A408" s="12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2.75" customHeight="1">
      <c r="A409" s="12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2.75" customHeight="1">
      <c r="A410" s="12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2.75" customHeight="1">
      <c r="A411" s="12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2.75" customHeight="1">
      <c r="A412" s="12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2.75" customHeight="1">
      <c r="A413" s="12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2.75" customHeight="1">
      <c r="A414" s="12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2.75" customHeight="1">
      <c r="A415" s="12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2.75" customHeight="1">
      <c r="A416" s="12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2.75" customHeight="1">
      <c r="A417" s="12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2.75" customHeight="1">
      <c r="A418" s="12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2.75" customHeight="1">
      <c r="A419" s="12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2.75" customHeight="1">
      <c r="A420" s="12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2.75" customHeight="1">
      <c r="A421" s="12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2.75" customHeight="1">
      <c r="A422" s="12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2.75" customHeight="1">
      <c r="A423" s="12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2.75" customHeight="1">
      <c r="A424" s="12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2.75" customHeight="1">
      <c r="A425" s="12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2.75" customHeight="1">
      <c r="A426" s="12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2.75" customHeight="1">
      <c r="A427" s="12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2.75" customHeight="1">
      <c r="A428" s="12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2.75" customHeight="1">
      <c r="A429" s="12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2.75" customHeight="1">
      <c r="A430" s="12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2.75" customHeight="1">
      <c r="A431" s="12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2.75" customHeight="1">
      <c r="A432" s="12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2.75" customHeight="1">
      <c r="A433" s="12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2.75" customHeight="1">
      <c r="A434" s="12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2.75" customHeight="1">
      <c r="A435" s="12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2.75" customHeight="1">
      <c r="A436" s="12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2.75" customHeight="1">
      <c r="A437" s="12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2.75" customHeight="1">
      <c r="A438" s="12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2.75" customHeight="1">
      <c r="A439" s="12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2.75" customHeight="1">
      <c r="A440" s="12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2.75" customHeight="1">
      <c r="A441" s="12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2.75" customHeight="1">
      <c r="A442" s="12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2.75" customHeight="1">
      <c r="A443" s="12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2.75" customHeight="1">
      <c r="A444" s="12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2.75" customHeight="1">
      <c r="A445" s="12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2.75" customHeight="1">
      <c r="A446" s="12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2.75" customHeight="1">
      <c r="A447" s="12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2.75" customHeight="1">
      <c r="A448" s="12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2.75" customHeight="1">
      <c r="A449" s="12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2.75" customHeight="1">
      <c r="A450" s="12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2.75" customHeight="1">
      <c r="A451" s="12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2.75" customHeight="1">
      <c r="A452" s="12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2.75" customHeight="1">
      <c r="A453" s="12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2.75" customHeight="1">
      <c r="A454" s="12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2.75" customHeight="1">
      <c r="A455" s="12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2.75" customHeight="1">
      <c r="A456" s="12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2.75" customHeight="1">
      <c r="A457" s="12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2.75" customHeight="1">
      <c r="A458" s="12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2.75" customHeight="1">
      <c r="A459" s="12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2.75" customHeight="1">
      <c r="A460" s="12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2.75" customHeight="1">
      <c r="A461" s="12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2.75" customHeight="1">
      <c r="A462" s="12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2.75" customHeight="1">
      <c r="A463" s="12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2.75" customHeight="1">
      <c r="A464" s="12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2.75" customHeight="1">
      <c r="A465" s="12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2.75" customHeight="1">
      <c r="A466" s="12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2.75" customHeight="1">
      <c r="A467" s="12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2.75" customHeight="1">
      <c r="A468" s="12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2.75" customHeight="1">
      <c r="A469" s="12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2.75" customHeight="1">
      <c r="A470" s="12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2.75" customHeight="1">
      <c r="A471" s="12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2.75" customHeight="1">
      <c r="A472" s="12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2.75" customHeight="1">
      <c r="A473" s="12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2.75" customHeight="1">
      <c r="A474" s="12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2.75" customHeight="1">
      <c r="A475" s="12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2.75" customHeight="1">
      <c r="A476" s="12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2.75" customHeight="1">
      <c r="A477" s="12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2.75" customHeight="1">
      <c r="A478" s="12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2.75" customHeight="1">
      <c r="A479" s="12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2.75" customHeight="1">
      <c r="A480" s="12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2.75" customHeight="1">
      <c r="A481" s="12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2.75" customHeight="1">
      <c r="A482" s="12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2.75" customHeight="1">
      <c r="A483" s="12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2.75" customHeight="1">
      <c r="A484" s="12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2.75" customHeight="1">
      <c r="A485" s="12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2.75" customHeight="1">
      <c r="A486" s="12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2.75" customHeight="1">
      <c r="A487" s="12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2.75" customHeight="1">
      <c r="A488" s="12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2.75" customHeight="1">
      <c r="A489" s="12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2.75" customHeight="1">
      <c r="A490" s="12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2.75" customHeight="1">
      <c r="A491" s="12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2.75" customHeight="1">
      <c r="A492" s="12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2.75" customHeight="1">
      <c r="A493" s="12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2.75" customHeight="1">
      <c r="A494" s="12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2.75" customHeight="1">
      <c r="A495" s="12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2.75" customHeight="1">
      <c r="A496" s="12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2.75" customHeight="1">
      <c r="A497" s="12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2.75" customHeight="1">
      <c r="A498" s="12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2.75" customHeight="1">
      <c r="A499" s="12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2.75" customHeight="1">
      <c r="A500" s="12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2.75" customHeight="1">
      <c r="A501" s="12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2.75" customHeight="1">
      <c r="A502" s="12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2.75" customHeight="1">
      <c r="A503" s="12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2.75" customHeight="1">
      <c r="A504" s="12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2.75" customHeight="1">
      <c r="A505" s="12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2.75" customHeight="1">
      <c r="A506" s="12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2.75" customHeight="1">
      <c r="A507" s="12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2.75" customHeight="1">
      <c r="A508" s="12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2.75" customHeight="1">
      <c r="A509" s="12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2.75" customHeight="1">
      <c r="A510" s="12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2.75" customHeight="1">
      <c r="A511" s="12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2.75" customHeight="1">
      <c r="A512" s="12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2.75" customHeight="1">
      <c r="A513" s="12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2.75" customHeight="1">
      <c r="A514" s="12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2.75" customHeight="1">
      <c r="A515" s="12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2.75" customHeight="1">
      <c r="A516" s="12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2.75" customHeight="1">
      <c r="A517" s="12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2.75" customHeight="1">
      <c r="A518" s="12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2.75" customHeight="1">
      <c r="A519" s="12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2.75" customHeight="1">
      <c r="A520" s="12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2.75" customHeight="1">
      <c r="A521" s="12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2.75" customHeight="1">
      <c r="A522" s="12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2.75" customHeight="1">
      <c r="A523" s="12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2.75" customHeight="1">
      <c r="A524" s="12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2.75" customHeight="1">
      <c r="A525" s="12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2.75" customHeight="1">
      <c r="A526" s="12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2.75" customHeight="1">
      <c r="A527" s="12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2.75" customHeight="1">
      <c r="A528" s="12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2.75" customHeight="1">
      <c r="A529" s="12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2.75" customHeight="1">
      <c r="A530" s="12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2.75" customHeight="1">
      <c r="A531" s="12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2.75" customHeight="1">
      <c r="A532" s="12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2.75" customHeight="1">
      <c r="A533" s="12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2.75" customHeight="1">
      <c r="A534" s="12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2.75" customHeight="1">
      <c r="A535" s="12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2.75" customHeight="1">
      <c r="A536" s="12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2.75" customHeight="1">
      <c r="A537" s="12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2.75" customHeight="1">
      <c r="A538" s="12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2.75" customHeight="1">
      <c r="A539" s="12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2.75" customHeight="1">
      <c r="A540" s="12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2.75" customHeight="1">
      <c r="A541" s="12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2.75" customHeight="1">
      <c r="A542" s="12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2.75" customHeight="1">
      <c r="A543" s="12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2.75" customHeight="1">
      <c r="A544" s="12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2.75" customHeight="1">
      <c r="A545" s="12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2.75" customHeight="1">
      <c r="A546" s="12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2.75" customHeight="1">
      <c r="A547" s="12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2.75" customHeight="1">
      <c r="A548" s="12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2.75" customHeight="1">
      <c r="A549" s="12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2.75" customHeight="1">
      <c r="A550" s="12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2.75" customHeight="1">
      <c r="A551" s="12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2.75" customHeight="1">
      <c r="A552" s="12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2.75" customHeight="1">
      <c r="A553" s="12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2.75" customHeight="1">
      <c r="A554" s="12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2.75" customHeight="1">
      <c r="A555" s="12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2.75" customHeight="1">
      <c r="A556" s="12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2.75" customHeight="1">
      <c r="A557" s="12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2.75" customHeight="1">
      <c r="A558" s="12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2.75" customHeight="1">
      <c r="A559" s="12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2.75" customHeight="1">
      <c r="A560" s="12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2.75" customHeight="1">
      <c r="A561" s="12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2.75" customHeight="1">
      <c r="A562" s="12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2.75" customHeight="1">
      <c r="A563" s="12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2.75" customHeight="1">
      <c r="A564" s="12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2.75" customHeight="1">
      <c r="A565" s="12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2.75" customHeight="1">
      <c r="A566" s="12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2.75" customHeight="1">
      <c r="A567" s="12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2.75" customHeight="1">
      <c r="A568" s="12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2.75" customHeight="1">
      <c r="A569" s="12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2.75" customHeight="1">
      <c r="A570" s="12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2.75" customHeight="1">
      <c r="A571" s="12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2.75" customHeight="1">
      <c r="A572" s="12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2.75" customHeight="1">
      <c r="A573" s="12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2.75" customHeight="1">
      <c r="A574" s="12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2.75" customHeight="1">
      <c r="A575" s="12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2.75" customHeight="1">
      <c r="A576" s="12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2.75" customHeight="1">
      <c r="A577" s="12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2.75" customHeight="1">
      <c r="A578" s="12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2.75" customHeight="1">
      <c r="A579" s="12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2.75" customHeight="1">
      <c r="A580" s="12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2.75" customHeight="1">
      <c r="A581" s="12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2.75" customHeight="1">
      <c r="A582" s="12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2.75" customHeight="1">
      <c r="A583" s="12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2.75" customHeight="1">
      <c r="A584" s="12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2.75" customHeight="1">
      <c r="A585" s="12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2.75" customHeight="1">
      <c r="A586" s="12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2.75" customHeight="1">
      <c r="A587" s="12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2.75" customHeight="1">
      <c r="A588" s="12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2.75" customHeight="1">
      <c r="A589" s="12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2.75" customHeight="1">
      <c r="A590" s="12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2.75" customHeight="1">
      <c r="A591" s="12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2.75" customHeight="1">
      <c r="A592" s="12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2.75" customHeight="1">
      <c r="A593" s="12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2.75" customHeight="1">
      <c r="A594" s="12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2.75" customHeight="1">
      <c r="A595" s="12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2.75" customHeight="1">
      <c r="A596" s="12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2.75" customHeight="1">
      <c r="A597" s="12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2.75" customHeight="1">
      <c r="A598" s="12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2.75" customHeight="1">
      <c r="A599" s="12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2.75" customHeight="1">
      <c r="A600" s="12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2.75" customHeight="1">
      <c r="A601" s="12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2.75" customHeight="1">
      <c r="A602" s="12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2.75" customHeight="1">
      <c r="A603" s="12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2.75" customHeight="1">
      <c r="A604" s="12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2.75" customHeight="1">
      <c r="A605" s="12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2.75" customHeight="1">
      <c r="A606" s="12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2.75" customHeight="1">
      <c r="A607" s="12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2.75" customHeight="1">
      <c r="A608" s="12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2.75" customHeight="1">
      <c r="A609" s="12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2.75" customHeight="1">
      <c r="A610" s="12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2.75" customHeight="1">
      <c r="A611" s="12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2.75" customHeight="1">
      <c r="A612" s="12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2.75" customHeight="1">
      <c r="A613" s="12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2.75" customHeight="1">
      <c r="A614" s="12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2.75" customHeight="1">
      <c r="A615" s="12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2.75" customHeight="1">
      <c r="A616" s="12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2.75" customHeight="1">
      <c r="A617" s="12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2.75" customHeight="1">
      <c r="A618" s="12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2.75" customHeight="1">
      <c r="A619" s="12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2.75" customHeight="1">
      <c r="A620" s="12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2.75" customHeight="1">
      <c r="A621" s="12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2.75" customHeight="1">
      <c r="A622" s="12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2.75" customHeight="1">
      <c r="A623" s="12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2.75" customHeight="1">
      <c r="A624" s="12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2.75" customHeight="1">
      <c r="A625" s="12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2.75" customHeight="1">
      <c r="A626" s="12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2.75" customHeight="1">
      <c r="A627" s="12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2.75" customHeight="1">
      <c r="A628" s="12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2.75" customHeight="1">
      <c r="A629" s="12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2.75" customHeight="1">
      <c r="A630" s="12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2.75" customHeight="1">
      <c r="A631" s="12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2.75" customHeight="1">
      <c r="A632" s="12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2.75" customHeight="1">
      <c r="A633" s="12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2.75" customHeight="1">
      <c r="A634" s="12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2.75" customHeight="1">
      <c r="A635" s="12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2.75" customHeight="1">
      <c r="A636" s="12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2.75" customHeight="1">
      <c r="A637" s="12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2.75" customHeight="1">
      <c r="A638" s="12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2.75" customHeight="1">
      <c r="A639" s="12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2.75" customHeight="1">
      <c r="A640" s="12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2.75" customHeight="1">
      <c r="A641" s="12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2.75" customHeight="1">
      <c r="A642" s="12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2.75" customHeight="1">
      <c r="A643" s="12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2.75" customHeight="1">
      <c r="A644" s="12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2.75" customHeight="1">
      <c r="A645" s="12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2.75" customHeight="1">
      <c r="A646" s="12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2.75" customHeight="1">
      <c r="A647" s="12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2.75" customHeight="1">
      <c r="A648" s="12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2.75" customHeight="1">
      <c r="A649" s="12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2.75" customHeight="1">
      <c r="A650" s="12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2.75" customHeight="1">
      <c r="A651" s="12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2.75" customHeight="1">
      <c r="A652" s="12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2.75" customHeight="1">
      <c r="A653" s="12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2.75" customHeight="1">
      <c r="A654" s="12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2.75" customHeight="1">
      <c r="A655" s="12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2.75" customHeight="1">
      <c r="A656" s="12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2.75" customHeight="1">
      <c r="A657" s="12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2.75" customHeight="1">
      <c r="A658" s="12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2.75" customHeight="1">
      <c r="A659" s="12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2.75" customHeight="1">
      <c r="A660" s="12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2.75" customHeight="1">
      <c r="A661" s="12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2.75" customHeight="1">
      <c r="A662" s="12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2.75" customHeight="1">
      <c r="A663" s="12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2.75" customHeight="1">
      <c r="A664" s="12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2.75" customHeight="1">
      <c r="A665" s="12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2.75" customHeight="1">
      <c r="A666" s="12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2.75" customHeight="1">
      <c r="A667" s="12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2.75" customHeight="1">
      <c r="A668" s="12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2.75" customHeight="1">
      <c r="A669" s="12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2.75" customHeight="1">
      <c r="A670" s="12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2.75" customHeight="1">
      <c r="A671" s="12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2.75" customHeight="1">
      <c r="A672" s="12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2.75" customHeight="1">
      <c r="A673" s="12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2.75" customHeight="1">
      <c r="A674" s="12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2.75" customHeight="1">
      <c r="A675" s="12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2.75" customHeight="1">
      <c r="A676" s="12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2.75" customHeight="1">
      <c r="A677" s="12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2.75" customHeight="1">
      <c r="A678" s="12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2.75" customHeight="1">
      <c r="A679" s="12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2.75" customHeight="1">
      <c r="A680" s="12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2.75" customHeight="1">
      <c r="A681" s="12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2.75" customHeight="1">
      <c r="A682" s="12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2.75" customHeight="1">
      <c r="A683" s="12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2.75" customHeight="1">
      <c r="A684" s="12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2.75" customHeight="1">
      <c r="A685" s="12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2.75" customHeight="1">
      <c r="A686" s="12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2.75" customHeight="1">
      <c r="A687" s="12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2.75" customHeight="1">
      <c r="A688" s="12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2.75" customHeight="1">
      <c r="A689" s="12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2.75" customHeight="1">
      <c r="A690" s="12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2.75" customHeight="1">
      <c r="A691" s="12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2.75" customHeight="1">
      <c r="A692" s="12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2.75" customHeight="1">
      <c r="A693" s="12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2.75" customHeight="1">
      <c r="A694" s="12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2.75" customHeight="1">
      <c r="A695" s="12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2.75" customHeight="1">
      <c r="A696" s="12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2.75" customHeight="1">
      <c r="A697" s="12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2.75" customHeight="1">
      <c r="A698" s="12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2.75" customHeight="1">
      <c r="A699" s="12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2.75" customHeight="1">
      <c r="A700" s="12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2.75" customHeight="1">
      <c r="A701" s="12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2.75" customHeight="1">
      <c r="A702" s="12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2.75" customHeight="1">
      <c r="A703" s="12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2.75" customHeight="1">
      <c r="A704" s="12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2.75" customHeight="1">
      <c r="A705" s="12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2.75" customHeight="1">
      <c r="A706" s="12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2.75" customHeight="1">
      <c r="A707" s="12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2.75" customHeight="1">
      <c r="A708" s="12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2.75" customHeight="1">
      <c r="A709" s="12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2.75" customHeight="1">
      <c r="A710" s="12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2.75" customHeight="1">
      <c r="A711" s="12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2.75" customHeight="1">
      <c r="A712" s="12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2.75" customHeight="1">
      <c r="A713" s="12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2.75" customHeight="1">
      <c r="A714" s="12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2.75" customHeight="1">
      <c r="A715" s="12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2.75" customHeight="1">
      <c r="A716" s="12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2.75" customHeight="1">
      <c r="A717" s="12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2.75" customHeight="1">
      <c r="A718" s="12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2.75" customHeight="1">
      <c r="A719" s="12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2.75" customHeight="1">
      <c r="A720" s="12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2.75" customHeight="1">
      <c r="A721" s="12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2.75" customHeight="1">
      <c r="A722" s="12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2.75" customHeight="1">
      <c r="A723" s="12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2.75" customHeight="1">
      <c r="A724" s="12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2.75" customHeight="1">
      <c r="A725" s="12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2.75" customHeight="1">
      <c r="A726" s="12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2.75" customHeight="1">
      <c r="A727" s="12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2.75" customHeight="1">
      <c r="A728" s="12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2.75" customHeight="1">
      <c r="A729" s="12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2.75" customHeight="1">
      <c r="A730" s="12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2.75" customHeight="1">
      <c r="A731" s="12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2.75" customHeight="1">
      <c r="A732" s="12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2.75" customHeight="1">
      <c r="A733" s="12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2.75" customHeight="1">
      <c r="A734" s="12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2.75" customHeight="1">
      <c r="A735" s="12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2.75" customHeight="1">
      <c r="A736" s="12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2.75" customHeight="1">
      <c r="A737" s="12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2.75" customHeight="1">
      <c r="A738" s="12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2.75" customHeight="1">
      <c r="A739" s="12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2.75" customHeight="1">
      <c r="A740" s="12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2.75" customHeight="1">
      <c r="A741" s="12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2.75" customHeight="1">
      <c r="A742" s="12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2.75" customHeight="1">
      <c r="A743" s="12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2.75" customHeight="1">
      <c r="A744" s="12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2.75" customHeight="1">
      <c r="A745" s="12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2.75" customHeight="1">
      <c r="A746" s="12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2.75" customHeight="1">
      <c r="A747" s="12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2.75" customHeight="1">
      <c r="A748" s="12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2.75" customHeight="1">
      <c r="A749" s="12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2.75" customHeight="1">
      <c r="A750" s="12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2.75" customHeight="1">
      <c r="A751" s="12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2.75" customHeight="1">
      <c r="A752" s="12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2.75" customHeight="1">
      <c r="A753" s="12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2.75" customHeight="1">
      <c r="A754" s="12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2.75" customHeight="1">
      <c r="A755" s="12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2.75" customHeight="1">
      <c r="A756" s="12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2.75" customHeight="1">
      <c r="A757" s="12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2.75" customHeight="1">
      <c r="A758" s="12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2.75" customHeight="1">
      <c r="A759" s="12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2.75" customHeight="1">
      <c r="A760" s="12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2.75" customHeight="1">
      <c r="A761" s="12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2.75" customHeight="1">
      <c r="A762" s="12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2.75" customHeight="1">
      <c r="A763" s="12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2.75" customHeight="1">
      <c r="A764" s="12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2.75" customHeight="1">
      <c r="A765" s="12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2.75" customHeight="1">
      <c r="A766" s="12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2.75" customHeight="1">
      <c r="A767" s="12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2.75" customHeight="1">
      <c r="A768" s="12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2.75" customHeight="1">
      <c r="A769" s="12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2.75" customHeight="1">
      <c r="A770" s="12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2.75" customHeight="1">
      <c r="A771" s="12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2.75" customHeight="1">
      <c r="A772" s="12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2.75" customHeight="1">
      <c r="A773" s="12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2.75" customHeight="1">
      <c r="A774" s="12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2.75" customHeight="1">
      <c r="A775" s="12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2.75" customHeight="1">
      <c r="A776" s="12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2.75" customHeight="1">
      <c r="A777" s="12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2.75" customHeight="1">
      <c r="A778" s="12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2.75" customHeight="1">
      <c r="A779" s="12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2.75" customHeight="1">
      <c r="A780" s="12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2.75" customHeight="1">
      <c r="A781" s="12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2.75" customHeight="1">
      <c r="A782" s="12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2.75" customHeight="1">
      <c r="A783" s="12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2.75" customHeight="1">
      <c r="A784" s="12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2.75" customHeight="1">
      <c r="A785" s="12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2.75" customHeight="1">
      <c r="A786" s="12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2.75" customHeight="1">
      <c r="A787" s="12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2.75" customHeight="1">
      <c r="A788" s="12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2.75" customHeight="1">
      <c r="A789" s="12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2.75" customHeight="1">
      <c r="A790" s="12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2.75" customHeight="1">
      <c r="A791" s="12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2.75" customHeight="1">
      <c r="A792" s="12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2.75" customHeight="1">
      <c r="A793" s="12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2.75" customHeight="1">
      <c r="A794" s="12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2.75" customHeight="1">
      <c r="A795" s="12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2.75" customHeight="1">
      <c r="A796" s="12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2.75" customHeight="1">
      <c r="A797" s="12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2.75" customHeight="1">
      <c r="A798" s="12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2.75" customHeight="1">
      <c r="A799" s="12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2.75" customHeight="1">
      <c r="A800" s="12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2.75" customHeight="1">
      <c r="A801" s="12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2.75" customHeight="1">
      <c r="A802" s="12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2.75" customHeight="1">
      <c r="A803" s="12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2.75" customHeight="1">
      <c r="A804" s="12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2.75" customHeight="1">
      <c r="A805" s="12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2.75" customHeight="1">
      <c r="A806" s="12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2.75" customHeight="1">
      <c r="A807" s="12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2.75" customHeight="1">
      <c r="A808" s="12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2.75" customHeight="1">
      <c r="A809" s="12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2.75" customHeight="1">
      <c r="A810" s="12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2.75" customHeight="1">
      <c r="A811" s="12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2.75" customHeight="1">
      <c r="A812" s="12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2.75" customHeight="1">
      <c r="A813" s="12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2.75" customHeight="1">
      <c r="A814" s="12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2.75" customHeight="1">
      <c r="A815" s="12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2.75" customHeight="1">
      <c r="A816" s="12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2.75" customHeight="1">
      <c r="A817" s="12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2.75" customHeight="1">
      <c r="A818" s="12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2.75" customHeight="1">
      <c r="A819" s="12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2.75" customHeight="1">
      <c r="A820" s="12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2.75" customHeight="1">
      <c r="A821" s="12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2.75" customHeight="1">
      <c r="A822" s="12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2.75" customHeight="1">
      <c r="A823" s="12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2.75" customHeight="1">
      <c r="A824" s="12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2.75" customHeight="1">
      <c r="A825" s="12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2.75" customHeight="1">
      <c r="A826" s="12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2.75" customHeight="1">
      <c r="A827" s="12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2.75" customHeight="1">
      <c r="A828" s="12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2.75" customHeight="1">
      <c r="A829" s="12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2.75" customHeight="1">
      <c r="A830" s="12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2.75" customHeight="1">
      <c r="A831" s="12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2.75" customHeight="1">
      <c r="A832" s="12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2.75" customHeight="1">
      <c r="A833" s="12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2.75" customHeight="1">
      <c r="A834" s="12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2.75" customHeight="1">
      <c r="A835" s="12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2.75" customHeight="1">
      <c r="A836" s="12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2.75" customHeight="1">
      <c r="A837" s="12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2.75" customHeight="1">
      <c r="A838" s="12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2.75" customHeight="1">
      <c r="A839" s="12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2.75" customHeight="1">
      <c r="A840" s="12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2.75" customHeight="1">
      <c r="A841" s="12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2.75" customHeight="1">
      <c r="A842" s="12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2.75" customHeight="1">
      <c r="A843" s="12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2.75" customHeight="1">
      <c r="A844" s="12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2.75" customHeight="1">
      <c r="A845" s="12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2.75" customHeight="1">
      <c r="A846" s="12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2.75" customHeight="1">
      <c r="A847" s="12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2.75" customHeight="1">
      <c r="A848" s="12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2.75" customHeight="1">
      <c r="A849" s="12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2.75" customHeight="1">
      <c r="A850" s="12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2.75" customHeight="1">
      <c r="A851" s="12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2.75" customHeight="1">
      <c r="A852" s="12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2.75" customHeight="1">
      <c r="A853" s="12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2.75" customHeight="1">
      <c r="A854" s="12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2.75" customHeight="1">
      <c r="A855" s="12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2.75" customHeight="1">
      <c r="A856" s="12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2.75" customHeight="1">
      <c r="A857" s="12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2.75" customHeight="1">
      <c r="A858" s="12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2.75" customHeight="1">
      <c r="A859" s="12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2.75" customHeight="1">
      <c r="A860" s="12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2.75" customHeight="1">
      <c r="A861" s="12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2.75" customHeight="1">
      <c r="A862" s="12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2.75" customHeight="1">
      <c r="A863" s="12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2.75" customHeight="1">
      <c r="A864" s="12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2.75" customHeight="1">
      <c r="A865" s="12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2.75" customHeight="1">
      <c r="A866" s="12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2.75" customHeight="1">
      <c r="A867" s="12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2.75" customHeight="1">
      <c r="A868" s="12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2.75" customHeight="1">
      <c r="A869" s="12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2.75" customHeight="1">
      <c r="A870" s="12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2.75" customHeight="1">
      <c r="A871" s="12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2.75" customHeight="1">
      <c r="A872" s="12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2.75" customHeight="1">
      <c r="A873" s="12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2.75" customHeight="1">
      <c r="A874" s="12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2.75" customHeight="1">
      <c r="A875" s="12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2.75" customHeight="1">
      <c r="A876" s="12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2.75" customHeight="1">
      <c r="A877" s="12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2.75" customHeight="1">
      <c r="A878" s="12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2.75" customHeight="1">
      <c r="A879" s="12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2.75" customHeight="1">
      <c r="A880" s="12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2.75" customHeight="1">
      <c r="A881" s="12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2.75" customHeight="1">
      <c r="A882" s="12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2.75" customHeight="1">
      <c r="A883" s="12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2.75" customHeight="1">
      <c r="A884" s="12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2.75" customHeight="1">
      <c r="A885" s="12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2.75" customHeight="1">
      <c r="A886" s="12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2.75" customHeight="1">
      <c r="A887" s="12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2.75" customHeight="1">
      <c r="A888" s="12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2.75" customHeight="1">
      <c r="A889" s="12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2.75" customHeight="1">
      <c r="A890" s="12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2.75" customHeight="1">
      <c r="A891" s="12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2.75" customHeight="1">
      <c r="A892" s="12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2.75" customHeight="1">
      <c r="A893" s="12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2.75" customHeight="1">
      <c r="A894" s="12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2.75" customHeight="1">
      <c r="A895" s="12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2.75" customHeight="1">
      <c r="A896" s="12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2.75" customHeight="1">
      <c r="A897" s="12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2.75" customHeight="1">
      <c r="A898" s="12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2.75" customHeight="1">
      <c r="A899" s="12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2.75" customHeight="1">
      <c r="A900" s="12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2.75" customHeight="1">
      <c r="A901" s="12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2.75" customHeight="1">
      <c r="A902" s="12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2.75" customHeight="1">
      <c r="A903" s="12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2.75" customHeight="1">
      <c r="A904" s="12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2.75" customHeight="1">
      <c r="A905" s="12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2.75" customHeight="1">
      <c r="A906" s="12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2.75" customHeight="1">
      <c r="A907" s="12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2.75" customHeight="1">
      <c r="A908" s="12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2.75" customHeight="1">
      <c r="A909" s="12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2.75" customHeight="1">
      <c r="A910" s="12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2.75" customHeight="1">
      <c r="A911" s="12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2.75" customHeight="1">
      <c r="A912" s="12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2.75" customHeight="1">
      <c r="A913" s="12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2.75" customHeight="1">
      <c r="A914" s="12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2.75" customHeight="1">
      <c r="A915" s="12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2.75" customHeight="1">
      <c r="A916" s="12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2.75" customHeight="1">
      <c r="A917" s="12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2.75" customHeight="1">
      <c r="A918" s="12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2.75" customHeight="1">
      <c r="A919" s="12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2.75" customHeight="1">
      <c r="A920" s="12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2.75" customHeight="1">
      <c r="A921" s="12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2.75" customHeight="1">
      <c r="A922" s="12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2.75" customHeight="1">
      <c r="A923" s="12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2.75" customHeight="1">
      <c r="A924" s="12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2.75" customHeight="1">
      <c r="A925" s="12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2.75" customHeight="1">
      <c r="A926" s="12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2.75" customHeight="1">
      <c r="A927" s="12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2.75" customHeight="1">
      <c r="A928" s="12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2.75" customHeight="1">
      <c r="A929" s="12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2.75" customHeight="1">
      <c r="A930" s="12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2.75" customHeight="1">
      <c r="A931" s="12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2.75" customHeight="1">
      <c r="A932" s="12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2.75" customHeight="1">
      <c r="A933" s="12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2.75" customHeight="1">
      <c r="A934" s="12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2.75" customHeight="1">
      <c r="A935" s="12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2.75" customHeight="1">
      <c r="A936" s="12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2.75" customHeight="1">
      <c r="A937" s="12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2.75" customHeight="1">
      <c r="A938" s="12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2.75" customHeight="1">
      <c r="A939" s="12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2.75" customHeight="1">
      <c r="A940" s="12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2.75" customHeight="1">
      <c r="A941" s="12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2.75" customHeight="1">
      <c r="A942" s="12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2.75" customHeight="1">
      <c r="A943" s="12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2.75" customHeight="1">
      <c r="A944" s="12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2.75" customHeight="1">
      <c r="A945" s="12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2.75" customHeight="1">
      <c r="A946" s="12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2.75" customHeight="1">
      <c r="A947" s="12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2.75" customHeight="1">
      <c r="A948" s="12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2.75" customHeight="1">
      <c r="A949" s="12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2.75" customHeight="1">
      <c r="A950" s="12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2.75" customHeight="1">
      <c r="A951" s="12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2.75" customHeight="1">
      <c r="A952" s="12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2.75" customHeight="1">
      <c r="A953" s="12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2.75" customHeight="1">
      <c r="A954" s="12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2.75" customHeight="1">
      <c r="A955" s="12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2.75" customHeight="1">
      <c r="A956" s="12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2.75" customHeight="1">
      <c r="A957" s="12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2.75" customHeight="1">
      <c r="A958" s="12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2.75" customHeight="1">
      <c r="A959" s="12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2.75" customHeight="1">
      <c r="A960" s="12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2.75" customHeight="1">
      <c r="A961" s="12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2.75" customHeight="1">
      <c r="A962" s="12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2.75" customHeight="1">
      <c r="A963" s="12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2.75" customHeight="1">
      <c r="A964" s="12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2.75" customHeight="1">
      <c r="A965" s="12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2.75" customHeight="1">
      <c r="A966" s="12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2.75" customHeight="1">
      <c r="A967" s="12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2.75" customHeight="1">
      <c r="A968" s="12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2.75" customHeight="1">
      <c r="A969" s="12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2.75" customHeight="1">
      <c r="A970" s="12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2.75" customHeight="1">
      <c r="A971" s="12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2.75" customHeight="1">
      <c r="A972" s="12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2.75" customHeight="1">
      <c r="A973" s="12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2.75" customHeight="1">
      <c r="A974" s="12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2.75" customHeight="1">
      <c r="A975" s="12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2.75" customHeight="1">
      <c r="A976" s="12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2.75" customHeight="1">
      <c r="A977" s="12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2.75" customHeight="1">
      <c r="A978" s="12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2.75" customHeight="1">
      <c r="A979" s="12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2.75" customHeight="1">
      <c r="A980" s="12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2.75" customHeight="1">
      <c r="A981" s="12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2.75" customHeight="1">
      <c r="A982" s="12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2.75" customHeight="1">
      <c r="A983" s="12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2.75" customHeight="1">
      <c r="A984" s="12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2.75" customHeight="1">
      <c r="A985" s="12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2.75" customHeight="1">
      <c r="A986" s="12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2.75" customHeight="1">
      <c r="A987" s="12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2.75" customHeight="1">
      <c r="A988" s="12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2.75" customHeight="1">
      <c r="A989" s="12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2.75" customHeight="1">
      <c r="A990" s="12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2.75" customHeight="1">
      <c r="A991" s="12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2.75" customHeight="1">
      <c r="A992" s="12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2.75" customHeight="1">
      <c r="A993" s="12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2.75" customHeight="1">
      <c r="A994" s="12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2.75" customHeight="1">
      <c r="A995" s="12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2.75" customHeight="1">
      <c r="A996" s="12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2.75" customHeight="1">
      <c r="A997" s="12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2.75" customHeight="1">
      <c r="A998" s="12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2.75" customHeight="1">
      <c r="A999" s="12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2.75" customHeight="1">
      <c r="A1000" s="12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4">
    <mergeCell ref="B2:F2"/>
    <mergeCell ref="B4:D4"/>
    <mergeCell ref="B5:D5"/>
    <mergeCell ref="B6:D6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28.75"/>
    <col customWidth="1" min="3" max="3" width="21.0"/>
    <col customWidth="1" min="4" max="4" width="14.38"/>
    <col customWidth="1" min="5" max="5" width="41.75"/>
    <col customWidth="1" min="6" max="6" width="51.38"/>
    <col customWidth="1" min="7" max="26" width="8.0"/>
  </cols>
  <sheetData>
    <row r="1" ht="12.75" customHeight="1">
      <c r="A1" s="48"/>
      <c r="B1" s="48"/>
      <c r="C1" s="49"/>
      <c r="D1" s="50"/>
      <c r="E1" s="50"/>
      <c r="F1" s="50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24.0" customHeight="1">
      <c r="A2" s="48"/>
      <c r="B2" s="48"/>
      <c r="C2" s="51" t="s">
        <v>62</v>
      </c>
      <c r="D2" s="51"/>
      <c r="E2" s="52"/>
      <c r="F2" s="50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3.5" customHeight="1">
      <c r="A3" s="48"/>
      <c r="B3" s="48"/>
      <c r="C3" s="49"/>
      <c r="D3" s="53"/>
      <c r="E3" s="53"/>
      <c r="F3" s="50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4.25" customHeight="1">
      <c r="A4" s="54" t="s">
        <v>45</v>
      </c>
      <c r="B4" s="55"/>
      <c r="C4" s="56" t="str">
        <f>Cover!B4</f>
        <v>&lt;Project Name&gt;</v>
      </c>
      <c r="D4" s="16"/>
      <c r="E4" s="16"/>
      <c r="F4" s="17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4.25" customHeight="1">
      <c r="A5" s="54" t="s">
        <v>48</v>
      </c>
      <c r="B5" s="55"/>
      <c r="C5" s="56" t="str">
        <f>Cover!B5</f>
        <v>&lt;Project Code&gt;</v>
      </c>
      <c r="D5" s="16"/>
      <c r="E5" s="16"/>
      <c r="F5" s="17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2.75" customHeight="1">
      <c r="A6" s="57" t="s">
        <v>63</v>
      </c>
      <c r="B6" s="17"/>
      <c r="C6" s="58" t="s">
        <v>64</v>
      </c>
      <c r="D6" s="16"/>
      <c r="E6" s="16"/>
      <c r="F6" s="17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ht="12.75" customHeight="1">
      <c r="A7" s="60"/>
      <c r="B7" s="60"/>
      <c r="C7" s="59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24.0" customHeight="1">
      <c r="A8" s="61" t="s">
        <v>65</v>
      </c>
      <c r="B8" s="62" t="s">
        <v>66</v>
      </c>
      <c r="C8" s="63" t="s">
        <v>67</v>
      </c>
      <c r="D8" s="64" t="s">
        <v>68</v>
      </c>
      <c r="E8" s="65" t="s">
        <v>69</v>
      </c>
      <c r="F8" s="66" t="s">
        <v>70</v>
      </c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ht="12.75" customHeight="1">
      <c r="A9" s="68">
        <v>1.0</v>
      </c>
      <c r="B9" s="69" t="s">
        <v>71</v>
      </c>
      <c r="C9" s="70" t="s">
        <v>72</v>
      </c>
      <c r="D9" s="71" t="s">
        <v>72</v>
      </c>
      <c r="E9" s="72"/>
      <c r="F9" s="73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2.75" customHeight="1">
      <c r="A10" s="68">
        <v>2.0</v>
      </c>
      <c r="B10" s="69" t="s">
        <v>73</v>
      </c>
      <c r="C10" s="70" t="s">
        <v>74</v>
      </c>
      <c r="D10" s="71" t="s">
        <v>74</v>
      </c>
      <c r="E10" s="72"/>
      <c r="F10" s="73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2.75" customHeight="1">
      <c r="A11" s="68"/>
      <c r="B11" s="69"/>
      <c r="C11" s="70"/>
      <c r="D11" s="72"/>
      <c r="E11" s="72"/>
      <c r="F11" s="73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2.75" customHeight="1">
      <c r="A12" s="68"/>
      <c r="B12" s="69"/>
      <c r="C12" s="70"/>
      <c r="D12" s="72"/>
      <c r="E12" s="72"/>
      <c r="F12" s="73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2.75" customHeight="1">
      <c r="A13" s="68"/>
      <c r="B13" s="69"/>
      <c r="C13" s="70"/>
      <c r="D13" s="74"/>
      <c r="E13" s="74"/>
      <c r="F13" s="73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2.75" customHeight="1">
      <c r="A14" s="68"/>
      <c r="B14" s="69"/>
      <c r="C14" s="70"/>
      <c r="D14" s="74"/>
      <c r="E14" s="74"/>
      <c r="F14" s="73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2.75" customHeight="1">
      <c r="A15" s="68"/>
      <c r="B15" s="69"/>
      <c r="C15" s="70"/>
      <c r="D15" s="74"/>
      <c r="E15" s="74"/>
      <c r="F15" s="73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2.75" customHeight="1">
      <c r="A16" s="68"/>
      <c r="B16" s="69"/>
      <c r="C16" s="70"/>
      <c r="D16" s="74"/>
      <c r="E16" s="74"/>
      <c r="F16" s="73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2.75" customHeight="1">
      <c r="A17" s="68"/>
      <c r="B17" s="69"/>
      <c r="C17" s="70"/>
      <c r="D17" s="74"/>
      <c r="E17" s="74"/>
      <c r="F17" s="73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2.75" customHeight="1">
      <c r="A18" s="68"/>
      <c r="B18" s="69"/>
      <c r="C18" s="70"/>
      <c r="D18" s="74"/>
      <c r="E18" s="74"/>
      <c r="F18" s="73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2.75" customHeight="1">
      <c r="A19" s="68"/>
      <c r="B19" s="69"/>
      <c r="C19" s="70"/>
      <c r="D19" s="74"/>
      <c r="E19" s="74"/>
      <c r="F19" s="73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2.75" customHeight="1">
      <c r="A20" s="75"/>
      <c r="B20" s="76"/>
      <c r="C20" s="77"/>
      <c r="D20" s="78"/>
      <c r="E20" s="78"/>
      <c r="F20" s="79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2.75" customHeight="1">
      <c r="A21" s="48"/>
      <c r="B21" s="48"/>
      <c r="C21" s="49"/>
      <c r="D21" s="50"/>
      <c r="E21" s="50"/>
      <c r="F21" s="50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2.75" customHeight="1">
      <c r="A22" s="48"/>
      <c r="B22" s="48"/>
      <c r="C22" s="49"/>
      <c r="D22" s="50"/>
      <c r="E22" s="50"/>
      <c r="F22" s="50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2.75" customHeight="1">
      <c r="A23" s="48"/>
      <c r="B23" s="48"/>
      <c r="C23" s="49"/>
      <c r="D23" s="50"/>
      <c r="E23" s="50"/>
      <c r="F23" s="50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2.75" customHeight="1">
      <c r="A24" s="48"/>
      <c r="B24" s="48"/>
      <c r="C24" s="49"/>
      <c r="D24" s="50"/>
      <c r="E24" s="50"/>
      <c r="F24" s="50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2.75" customHeight="1">
      <c r="A25" s="48"/>
      <c r="B25" s="48"/>
      <c r="C25" s="49"/>
      <c r="D25" s="50"/>
      <c r="E25" s="50"/>
      <c r="F25" s="50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2.75" customHeight="1">
      <c r="A26" s="48"/>
      <c r="B26" s="48"/>
      <c r="C26" s="49"/>
      <c r="D26" s="50"/>
      <c r="E26" s="50"/>
      <c r="F26" s="50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2.75" customHeight="1">
      <c r="A27" s="48"/>
      <c r="B27" s="48"/>
      <c r="C27" s="49"/>
      <c r="D27" s="50"/>
      <c r="E27" s="50"/>
      <c r="F27" s="50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2.75" customHeight="1">
      <c r="A28" s="48"/>
      <c r="B28" s="48"/>
      <c r="C28" s="49"/>
      <c r="D28" s="50"/>
      <c r="E28" s="50"/>
      <c r="F28" s="50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2.75" customHeight="1">
      <c r="A29" s="48"/>
      <c r="B29" s="48"/>
      <c r="C29" s="49"/>
      <c r="D29" s="50"/>
      <c r="E29" s="50"/>
      <c r="F29" s="50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2.75" customHeight="1">
      <c r="A30" s="48"/>
      <c r="B30" s="48"/>
      <c r="C30" s="49"/>
      <c r="D30" s="50"/>
      <c r="E30" s="50"/>
      <c r="F30" s="50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2.75" customHeight="1">
      <c r="A31" s="48"/>
      <c r="B31" s="48"/>
      <c r="C31" s="49"/>
      <c r="D31" s="50"/>
      <c r="E31" s="50"/>
      <c r="F31" s="50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2.75" customHeight="1">
      <c r="A32" s="48"/>
      <c r="B32" s="48"/>
      <c r="C32" s="49"/>
      <c r="D32" s="50"/>
      <c r="E32" s="50"/>
      <c r="F32" s="50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2.75" customHeight="1">
      <c r="A33" s="48"/>
      <c r="B33" s="48"/>
      <c r="C33" s="49"/>
      <c r="D33" s="50"/>
      <c r="E33" s="50"/>
      <c r="F33" s="50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2.75" customHeight="1">
      <c r="A34" s="48"/>
      <c r="B34" s="48"/>
      <c r="C34" s="49"/>
      <c r="D34" s="50"/>
      <c r="E34" s="50"/>
      <c r="F34" s="50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2.75" customHeight="1">
      <c r="A35" s="48"/>
      <c r="B35" s="48"/>
      <c r="C35" s="49"/>
      <c r="D35" s="50"/>
      <c r="E35" s="50"/>
      <c r="F35" s="50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2.75" customHeight="1">
      <c r="A36" s="48"/>
      <c r="B36" s="48"/>
      <c r="C36" s="49"/>
      <c r="D36" s="50"/>
      <c r="E36" s="50"/>
      <c r="F36" s="50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2.75" customHeight="1">
      <c r="A37" s="48"/>
      <c r="B37" s="48"/>
      <c r="C37" s="49"/>
      <c r="D37" s="50"/>
      <c r="E37" s="50"/>
      <c r="F37" s="50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2.75" customHeight="1">
      <c r="A38" s="48"/>
      <c r="B38" s="48"/>
      <c r="C38" s="49"/>
      <c r="D38" s="50"/>
      <c r="E38" s="50"/>
      <c r="F38" s="50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2.75" customHeight="1">
      <c r="A39" s="48"/>
      <c r="B39" s="48"/>
      <c r="C39" s="49"/>
      <c r="D39" s="50"/>
      <c r="E39" s="50"/>
      <c r="F39" s="50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2.75" customHeight="1">
      <c r="A40" s="48"/>
      <c r="B40" s="48"/>
      <c r="C40" s="49"/>
      <c r="D40" s="50"/>
      <c r="E40" s="50"/>
      <c r="F40" s="50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2.75" customHeight="1">
      <c r="A41" s="48"/>
      <c r="B41" s="48"/>
      <c r="C41" s="49"/>
      <c r="D41" s="50"/>
      <c r="E41" s="50"/>
      <c r="F41" s="50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2.75" customHeight="1">
      <c r="A42" s="48"/>
      <c r="B42" s="48"/>
      <c r="C42" s="49"/>
      <c r="D42" s="50"/>
      <c r="E42" s="50"/>
      <c r="F42" s="50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2.75" customHeight="1">
      <c r="A43" s="48"/>
      <c r="B43" s="48"/>
      <c r="C43" s="49"/>
      <c r="D43" s="50"/>
      <c r="E43" s="50"/>
      <c r="F43" s="50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2.75" customHeight="1">
      <c r="A44" s="48"/>
      <c r="B44" s="48"/>
      <c r="C44" s="49"/>
      <c r="D44" s="50"/>
      <c r="E44" s="50"/>
      <c r="F44" s="50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2.75" customHeight="1">
      <c r="A45" s="48"/>
      <c r="B45" s="48"/>
      <c r="C45" s="49"/>
      <c r="D45" s="50"/>
      <c r="E45" s="50"/>
      <c r="F45" s="50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2.75" customHeight="1">
      <c r="A46" s="48"/>
      <c r="B46" s="48"/>
      <c r="C46" s="49"/>
      <c r="D46" s="50"/>
      <c r="E46" s="50"/>
      <c r="F46" s="50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2.75" customHeight="1">
      <c r="A47" s="48"/>
      <c r="B47" s="48"/>
      <c r="C47" s="49"/>
      <c r="D47" s="50"/>
      <c r="E47" s="50"/>
      <c r="F47" s="50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2.75" customHeight="1">
      <c r="A48" s="48"/>
      <c r="B48" s="48"/>
      <c r="C48" s="49"/>
      <c r="D48" s="50"/>
      <c r="E48" s="50"/>
      <c r="F48" s="50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2.75" customHeight="1">
      <c r="A49" s="48"/>
      <c r="B49" s="48"/>
      <c r="C49" s="49"/>
      <c r="D49" s="50"/>
      <c r="E49" s="50"/>
      <c r="F49" s="50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2.75" customHeight="1">
      <c r="A50" s="48"/>
      <c r="B50" s="48"/>
      <c r="C50" s="49"/>
      <c r="D50" s="50"/>
      <c r="E50" s="50"/>
      <c r="F50" s="50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2.75" customHeight="1">
      <c r="A51" s="48"/>
      <c r="B51" s="48"/>
      <c r="C51" s="49"/>
      <c r="D51" s="50"/>
      <c r="E51" s="50"/>
      <c r="F51" s="50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2.75" customHeight="1">
      <c r="A52" s="48"/>
      <c r="B52" s="48"/>
      <c r="C52" s="49"/>
      <c r="D52" s="50"/>
      <c r="E52" s="50"/>
      <c r="F52" s="50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2.75" customHeight="1">
      <c r="A53" s="48"/>
      <c r="B53" s="48"/>
      <c r="C53" s="49"/>
      <c r="D53" s="50"/>
      <c r="E53" s="50"/>
      <c r="F53" s="50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2.75" customHeight="1">
      <c r="A54" s="48"/>
      <c r="B54" s="48"/>
      <c r="C54" s="49"/>
      <c r="D54" s="50"/>
      <c r="E54" s="50"/>
      <c r="F54" s="50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2.75" customHeight="1">
      <c r="A55" s="48"/>
      <c r="B55" s="48"/>
      <c r="C55" s="49"/>
      <c r="D55" s="50"/>
      <c r="E55" s="50"/>
      <c r="F55" s="50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2.75" customHeight="1">
      <c r="A56" s="48"/>
      <c r="B56" s="48"/>
      <c r="C56" s="49"/>
      <c r="D56" s="50"/>
      <c r="E56" s="50"/>
      <c r="F56" s="50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2.75" customHeight="1">
      <c r="A57" s="48"/>
      <c r="B57" s="48"/>
      <c r="C57" s="49"/>
      <c r="D57" s="50"/>
      <c r="E57" s="50"/>
      <c r="F57" s="50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2.75" customHeight="1">
      <c r="A58" s="48"/>
      <c r="B58" s="48"/>
      <c r="C58" s="49"/>
      <c r="D58" s="50"/>
      <c r="E58" s="50"/>
      <c r="F58" s="50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2.75" customHeight="1">
      <c r="A59" s="48"/>
      <c r="B59" s="48"/>
      <c r="C59" s="49"/>
      <c r="D59" s="50"/>
      <c r="E59" s="50"/>
      <c r="F59" s="50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2.75" customHeight="1">
      <c r="A60" s="48"/>
      <c r="B60" s="48"/>
      <c r="C60" s="49"/>
      <c r="D60" s="50"/>
      <c r="E60" s="50"/>
      <c r="F60" s="50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2.75" customHeight="1">
      <c r="A61" s="48"/>
      <c r="B61" s="48"/>
      <c r="C61" s="49"/>
      <c r="D61" s="50"/>
      <c r="E61" s="50"/>
      <c r="F61" s="50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2.75" customHeight="1">
      <c r="A62" s="48"/>
      <c r="B62" s="48"/>
      <c r="C62" s="49"/>
      <c r="D62" s="50"/>
      <c r="E62" s="50"/>
      <c r="F62" s="50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2.75" customHeight="1">
      <c r="A63" s="48"/>
      <c r="B63" s="48"/>
      <c r="C63" s="49"/>
      <c r="D63" s="50"/>
      <c r="E63" s="50"/>
      <c r="F63" s="50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2.75" customHeight="1">
      <c r="A64" s="48"/>
      <c r="B64" s="48"/>
      <c r="C64" s="49"/>
      <c r="D64" s="50"/>
      <c r="E64" s="50"/>
      <c r="F64" s="50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2.75" customHeight="1">
      <c r="A65" s="48"/>
      <c r="B65" s="48"/>
      <c r="C65" s="49"/>
      <c r="D65" s="50"/>
      <c r="E65" s="50"/>
      <c r="F65" s="50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2.75" customHeight="1">
      <c r="A66" s="48"/>
      <c r="B66" s="48"/>
      <c r="C66" s="49"/>
      <c r="D66" s="50"/>
      <c r="E66" s="50"/>
      <c r="F66" s="50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2.75" customHeight="1">
      <c r="A67" s="48"/>
      <c r="B67" s="48"/>
      <c r="C67" s="49"/>
      <c r="D67" s="50"/>
      <c r="E67" s="50"/>
      <c r="F67" s="50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2.75" customHeight="1">
      <c r="A68" s="48"/>
      <c r="B68" s="48"/>
      <c r="C68" s="49"/>
      <c r="D68" s="50"/>
      <c r="E68" s="50"/>
      <c r="F68" s="50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2.75" customHeight="1">
      <c r="A69" s="48"/>
      <c r="B69" s="48"/>
      <c r="C69" s="49"/>
      <c r="D69" s="50"/>
      <c r="E69" s="50"/>
      <c r="F69" s="50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2.75" customHeight="1">
      <c r="A70" s="48"/>
      <c r="B70" s="48"/>
      <c r="C70" s="49"/>
      <c r="D70" s="50"/>
      <c r="E70" s="50"/>
      <c r="F70" s="50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2.75" customHeight="1">
      <c r="A71" s="48"/>
      <c r="B71" s="48"/>
      <c r="C71" s="49"/>
      <c r="D71" s="50"/>
      <c r="E71" s="50"/>
      <c r="F71" s="50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2.75" customHeight="1">
      <c r="A72" s="48"/>
      <c r="B72" s="48"/>
      <c r="C72" s="49"/>
      <c r="D72" s="50"/>
      <c r="E72" s="50"/>
      <c r="F72" s="50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2.75" customHeight="1">
      <c r="A73" s="48"/>
      <c r="B73" s="48"/>
      <c r="C73" s="49"/>
      <c r="D73" s="50"/>
      <c r="E73" s="50"/>
      <c r="F73" s="50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2.75" customHeight="1">
      <c r="A74" s="48"/>
      <c r="B74" s="48"/>
      <c r="C74" s="49"/>
      <c r="D74" s="50"/>
      <c r="E74" s="50"/>
      <c r="F74" s="50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2.75" customHeight="1">
      <c r="A75" s="48"/>
      <c r="B75" s="48"/>
      <c r="C75" s="49"/>
      <c r="D75" s="50"/>
      <c r="E75" s="50"/>
      <c r="F75" s="50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2.75" customHeight="1">
      <c r="A76" s="48"/>
      <c r="B76" s="48"/>
      <c r="C76" s="49"/>
      <c r="D76" s="50"/>
      <c r="E76" s="50"/>
      <c r="F76" s="50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2.75" customHeight="1">
      <c r="A77" s="48"/>
      <c r="B77" s="48"/>
      <c r="C77" s="49"/>
      <c r="D77" s="50"/>
      <c r="E77" s="50"/>
      <c r="F77" s="50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2.75" customHeight="1">
      <c r="A78" s="48"/>
      <c r="B78" s="48"/>
      <c r="C78" s="49"/>
      <c r="D78" s="50"/>
      <c r="E78" s="50"/>
      <c r="F78" s="50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2.75" customHeight="1">
      <c r="A79" s="48"/>
      <c r="B79" s="48"/>
      <c r="C79" s="49"/>
      <c r="D79" s="50"/>
      <c r="E79" s="50"/>
      <c r="F79" s="50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2.75" customHeight="1">
      <c r="A80" s="48"/>
      <c r="B80" s="48"/>
      <c r="C80" s="49"/>
      <c r="D80" s="50"/>
      <c r="E80" s="50"/>
      <c r="F80" s="50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2.75" customHeight="1">
      <c r="A81" s="48"/>
      <c r="B81" s="48"/>
      <c r="C81" s="49"/>
      <c r="D81" s="50"/>
      <c r="E81" s="50"/>
      <c r="F81" s="50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2.75" customHeight="1">
      <c r="A82" s="48"/>
      <c r="B82" s="48"/>
      <c r="C82" s="49"/>
      <c r="D82" s="50"/>
      <c r="E82" s="50"/>
      <c r="F82" s="50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2.75" customHeight="1">
      <c r="A83" s="48"/>
      <c r="B83" s="48"/>
      <c r="C83" s="49"/>
      <c r="D83" s="50"/>
      <c r="E83" s="50"/>
      <c r="F83" s="50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2.75" customHeight="1">
      <c r="A84" s="48"/>
      <c r="B84" s="48"/>
      <c r="C84" s="49"/>
      <c r="D84" s="50"/>
      <c r="E84" s="50"/>
      <c r="F84" s="50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2.75" customHeight="1">
      <c r="A85" s="48"/>
      <c r="B85" s="48"/>
      <c r="C85" s="49"/>
      <c r="D85" s="50"/>
      <c r="E85" s="50"/>
      <c r="F85" s="50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2.75" customHeight="1">
      <c r="A86" s="48"/>
      <c r="B86" s="48"/>
      <c r="C86" s="49"/>
      <c r="D86" s="50"/>
      <c r="E86" s="50"/>
      <c r="F86" s="50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2.75" customHeight="1">
      <c r="A87" s="48"/>
      <c r="B87" s="48"/>
      <c r="C87" s="49"/>
      <c r="D87" s="50"/>
      <c r="E87" s="50"/>
      <c r="F87" s="50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2.75" customHeight="1">
      <c r="A88" s="48"/>
      <c r="B88" s="48"/>
      <c r="C88" s="49"/>
      <c r="D88" s="50"/>
      <c r="E88" s="50"/>
      <c r="F88" s="50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2.75" customHeight="1">
      <c r="A89" s="48"/>
      <c r="B89" s="48"/>
      <c r="C89" s="49"/>
      <c r="D89" s="50"/>
      <c r="E89" s="50"/>
      <c r="F89" s="50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2.75" customHeight="1">
      <c r="A90" s="48"/>
      <c r="B90" s="48"/>
      <c r="C90" s="49"/>
      <c r="D90" s="50"/>
      <c r="E90" s="50"/>
      <c r="F90" s="50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2.75" customHeight="1">
      <c r="A91" s="48"/>
      <c r="B91" s="48"/>
      <c r="C91" s="49"/>
      <c r="D91" s="50"/>
      <c r="E91" s="50"/>
      <c r="F91" s="50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2.75" customHeight="1">
      <c r="A92" s="48"/>
      <c r="B92" s="48"/>
      <c r="C92" s="49"/>
      <c r="D92" s="50"/>
      <c r="E92" s="50"/>
      <c r="F92" s="50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2.75" customHeight="1">
      <c r="A93" s="48"/>
      <c r="B93" s="48"/>
      <c r="C93" s="49"/>
      <c r="D93" s="50"/>
      <c r="E93" s="50"/>
      <c r="F93" s="50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2.75" customHeight="1">
      <c r="A94" s="48"/>
      <c r="B94" s="48"/>
      <c r="C94" s="49"/>
      <c r="D94" s="50"/>
      <c r="E94" s="50"/>
      <c r="F94" s="50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2.75" customHeight="1">
      <c r="A95" s="48"/>
      <c r="B95" s="48"/>
      <c r="C95" s="49"/>
      <c r="D95" s="50"/>
      <c r="E95" s="50"/>
      <c r="F95" s="50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2.75" customHeight="1">
      <c r="A96" s="48"/>
      <c r="B96" s="48"/>
      <c r="C96" s="49"/>
      <c r="D96" s="50"/>
      <c r="E96" s="50"/>
      <c r="F96" s="50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2.75" customHeight="1">
      <c r="A97" s="48"/>
      <c r="B97" s="48"/>
      <c r="C97" s="49"/>
      <c r="D97" s="50"/>
      <c r="E97" s="50"/>
      <c r="F97" s="50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2.75" customHeight="1">
      <c r="A98" s="48"/>
      <c r="B98" s="48"/>
      <c r="C98" s="49"/>
      <c r="D98" s="50"/>
      <c r="E98" s="50"/>
      <c r="F98" s="50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2.75" customHeight="1">
      <c r="A99" s="48"/>
      <c r="B99" s="48"/>
      <c r="C99" s="49"/>
      <c r="D99" s="50"/>
      <c r="E99" s="50"/>
      <c r="F99" s="50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2.75" customHeight="1">
      <c r="A100" s="48"/>
      <c r="B100" s="48"/>
      <c r="C100" s="49"/>
      <c r="D100" s="50"/>
      <c r="E100" s="50"/>
      <c r="F100" s="50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2.75" customHeight="1">
      <c r="A101" s="48"/>
      <c r="B101" s="48"/>
      <c r="C101" s="49"/>
      <c r="D101" s="50"/>
      <c r="E101" s="50"/>
      <c r="F101" s="50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2.75" customHeight="1">
      <c r="A102" s="48"/>
      <c r="B102" s="48"/>
      <c r="C102" s="49"/>
      <c r="D102" s="50"/>
      <c r="E102" s="50"/>
      <c r="F102" s="50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2.75" customHeight="1">
      <c r="A103" s="48"/>
      <c r="B103" s="48"/>
      <c r="C103" s="49"/>
      <c r="D103" s="50"/>
      <c r="E103" s="50"/>
      <c r="F103" s="50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2.75" customHeight="1">
      <c r="A104" s="48"/>
      <c r="B104" s="48"/>
      <c r="C104" s="49"/>
      <c r="D104" s="50"/>
      <c r="E104" s="50"/>
      <c r="F104" s="50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2.75" customHeight="1">
      <c r="A105" s="48"/>
      <c r="B105" s="48"/>
      <c r="C105" s="49"/>
      <c r="D105" s="50"/>
      <c r="E105" s="50"/>
      <c r="F105" s="50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2.75" customHeight="1">
      <c r="A106" s="48"/>
      <c r="B106" s="48"/>
      <c r="C106" s="49"/>
      <c r="D106" s="50"/>
      <c r="E106" s="50"/>
      <c r="F106" s="50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2.75" customHeight="1">
      <c r="A107" s="48"/>
      <c r="B107" s="48"/>
      <c r="C107" s="49"/>
      <c r="D107" s="50"/>
      <c r="E107" s="50"/>
      <c r="F107" s="50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2.75" customHeight="1">
      <c r="A108" s="48"/>
      <c r="B108" s="48"/>
      <c r="C108" s="49"/>
      <c r="D108" s="50"/>
      <c r="E108" s="50"/>
      <c r="F108" s="50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2.75" customHeight="1">
      <c r="A109" s="48"/>
      <c r="B109" s="48"/>
      <c r="C109" s="49"/>
      <c r="D109" s="50"/>
      <c r="E109" s="50"/>
      <c r="F109" s="50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2.75" customHeight="1">
      <c r="A110" s="48"/>
      <c r="B110" s="48"/>
      <c r="C110" s="49"/>
      <c r="D110" s="50"/>
      <c r="E110" s="50"/>
      <c r="F110" s="50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2.75" customHeight="1">
      <c r="A111" s="48"/>
      <c r="B111" s="48"/>
      <c r="C111" s="49"/>
      <c r="D111" s="50"/>
      <c r="E111" s="50"/>
      <c r="F111" s="50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2.75" customHeight="1">
      <c r="A112" s="48"/>
      <c r="B112" s="48"/>
      <c r="C112" s="49"/>
      <c r="D112" s="50"/>
      <c r="E112" s="50"/>
      <c r="F112" s="50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2.75" customHeight="1">
      <c r="A113" s="48"/>
      <c r="B113" s="48"/>
      <c r="C113" s="49"/>
      <c r="D113" s="50"/>
      <c r="E113" s="50"/>
      <c r="F113" s="50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2.75" customHeight="1">
      <c r="A114" s="48"/>
      <c r="B114" s="48"/>
      <c r="C114" s="49"/>
      <c r="D114" s="50"/>
      <c r="E114" s="50"/>
      <c r="F114" s="50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2.75" customHeight="1">
      <c r="A115" s="48"/>
      <c r="B115" s="48"/>
      <c r="C115" s="49"/>
      <c r="D115" s="50"/>
      <c r="E115" s="50"/>
      <c r="F115" s="50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2.75" customHeight="1">
      <c r="A116" s="48"/>
      <c r="B116" s="48"/>
      <c r="C116" s="49"/>
      <c r="D116" s="50"/>
      <c r="E116" s="50"/>
      <c r="F116" s="50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2.75" customHeight="1">
      <c r="A117" s="48"/>
      <c r="B117" s="48"/>
      <c r="C117" s="49"/>
      <c r="D117" s="50"/>
      <c r="E117" s="50"/>
      <c r="F117" s="50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2.75" customHeight="1">
      <c r="A118" s="48"/>
      <c r="B118" s="48"/>
      <c r="C118" s="49"/>
      <c r="D118" s="50"/>
      <c r="E118" s="50"/>
      <c r="F118" s="50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2.75" customHeight="1">
      <c r="A119" s="48"/>
      <c r="B119" s="48"/>
      <c r="C119" s="49"/>
      <c r="D119" s="50"/>
      <c r="E119" s="50"/>
      <c r="F119" s="50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2.75" customHeight="1">
      <c r="A120" s="48"/>
      <c r="B120" s="48"/>
      <c r="C120" s="49"/>
      <c r="D120" s="50"/>
      <c r="E120" s="50"/>
      <c r="F120" s="50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2.75" customHeight="1">
      <c r="A121" s="48"/>
      <c r="B121" s="48"/>
      <c r="C121" s="49"/>
      <c r="D121" s="50"/>
      <c r="E121" s="50"/>
      <c r="F121" s="50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2.75" customHeight="1">
      <c r="A122" s="48"/>
      <c r="B122" s="48"/>
      <c r="C122" s="49"/>
      <c r="D122" s="50"/>
      <c r="E122" s="50"/>
      <c r="F122" s="50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2.75" customHeight="1">
      <c r="A123" s="48"/>
      <c r="B123" s="48"/>
      <c r="C123" s="49"/>
      <c r="D123" s="50"/>
      <c r="E123" s="50"/>
      <c r="F123" s="50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2.75" customHeight="1">
      <c r="A124" s="48"/>
      <c r="B124" s="48"/>
      <c r="C124" s="49"/>
      <c r="D124" s="50"/>
      <c r="E124" s="50"/>
      <c r="F124" s="50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2.75" customHeight="1">
      <c r="A125" s="48"/>
      <c r="B125" s="48"/>
      <c r="C125" s="49"/>
      <c r="D125" s="50"/>
      <c r="E125" s="50"/>
      <c r="F125" s="50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2.75" customHeight="1">
      <c r="A126" s="48"/>
      <c r="B126" s="48"/>
      <c r="C126" s="49"/>
      <c r="D126" s="50"/>
      <c r="E126" s="50"/>
      <c r="F126" s="50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2.75" customHeight="1">
      <c r="A127" s="48"/>
      <c r="B127" s="48"/>
      <c r="C127" s="49"/>
      <c r="D127" s="50"/>
      <c r="E127" s="50"/>
      <c r="F127" s="50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2.75" customHeight="1">
      <c r="A128" s="48"/>
      <c r="B128" s="48"/>
      <c r="C128" s="49"/>
      <c r="D128" s="50"/>
      <c r="E128" s="50"/>
      <c r="F128" s="50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2.75" customHeight="1">
      <c r="A129" s="48"/>
      <c r="B129" s="48"/>
      <c r="C129" s="49"/>
      <c r="D129" s="50"/>
      <c r="E129" s="50"/>
      <c r="F129" s="50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2.75" customHeight="1">
      <c r="A130" s="48"/>
      <c r="B130" s="48"/>
      <c r="C130" s="49"/>
      <c r="D130" s="50"/>
      <c r="E130" s="50"/>
      <c r="F130" s="50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2.75" customHeight="1">
      <c r="A131" s="48"/>
      <c r="B131" s="48"/>
      <c r="C131" s="49"/>
      <c r="D131" s="50"/>
      <c r="E131" s="50"/>
      <c r="F131" s="50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2.75" customHeight="1">
      <c r="A132" s="48"/>
      <c r="B132" s="48"/>
      <c r="C132" s="49"/>
      <c r="D132" s="50"/>
      <c r="E132" s="50"/>
      <c r="F132" s="50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2.75" customHeight="1">
      <c r="A133" s="48"/>
      <c r="B133" s="48"/>
      <c r="C133" s="49"/>
      <c r="D133" s="50"/>
      <c r="E133" s="50"/>
      <c r="F133" s="50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2.75" customHeight="1">
      <c r="A134" s="48"/>
      <c r="B134" s="48"/>
      <c r="C134" s="49"/>
      <c r="D134" s="50"/>
      <c r="E134" s="50"/>
      <c r="F134" s="50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2.75" customHeight="1">
      <c r="A135" s="48"/>
      <c r="B135" s="48"/>
      <c r="C135" s="49"/>
      <c r="D135" s="50"/>
      <c r="E135" s="50"/>
      <c r="F135" s="50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2.75" customHeight="1">
      <c r="A136" s="48"/>
      <c r="B136" s="48"/>
      <c r="C136" s="49"/>
      <c r="D136" s="50"/>
      <c r="E136" s="50"/>
      <c r="F136" s="50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2.75" customHeight="1">
      <c r="A137" s="48"/>
      <c r="B137" s="48"/>
      <c r="C137" s="49"/>
      <c r="D137" s="50"/>
      <c r="E137" s="50"/>
      <c r="F137" s="50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2.75" customHeight="1">
      <c r="A138" s="48"/>
      <c r="B138" s="48"/>
      <c r="C138" s="49"/>
      <c r="D138" s="50"/>
      <c r="E138" s="50"/>
      <c r="F138" s="50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2.75" customHeight="1">
      <c r="A139" s="48"/>
      <c r="B139" s="48"/>
      <c r="C139" s="49"/>
      <c r="D139" s="50"/>
      <c r="E139" s="50"/>
      <c r="F139" s="50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2.75" customHeight="1">
      <c r="A140" s="48"/>
      <c r="B140" s="48"/>
      <c r="C140" s="49"/>
      <c r="D140" s="50"/>
      <c r="E140" s="50"/>
      <c r="F140" s="50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2.75" customHeight="1">
      <c r="A141" s="48"/>
      <c r="B141" s="48"/>
      <c r="C141" s="49"/>
      <c r="D141" s="50"/>
      <c r="E141" s="50"/>
      <c r="F141" s="50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2.75" customHeight="1">
      <c r="A142" s="48"/>
      <c r="B142" s="48"/>
      <c r="C142" s="49"/>
      <c r="D142" s="50"/>
      <c r="E142" s="50"/>
      <c r="F142" s="50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2.75" customHeight="1">
      <c r="A143" s="48"/>
      <c r="B143" s="48"/>
      <c r="C143" s="49"/>
      <c r="D143" s="50"/>
      <c r="E143" s="50"/>
      <c r="F143" s="50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2.75" customHeight="1">
      <c r="A144" s="48"/>
      <c r="B144" s="48"/>
      <c r="C144" s="49"/>
      <c r="D144" s="50"/>
      <c r="E144" s="50"/>
      <c r="F144" s="50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2.75" customHeight="1">
      <c r="A145" s="48"/>
      <c r="B145" s="48"/>
      <c r="C145" s="49"/>
      <c r="D145" s="50"/>
      <c r="E145" s="50"/>
      <c r="F145" s="50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2.75" customHeight="1">
      <c r="A146" s="48"/>
      <c r="B146" s="48"/>
      <c r="C146" s="49"/>
      <c r="D146" s="50"/>
      <c r="E146" s="50"/>
      <c r="F146" s="50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2.75" customHeight="1">
      <c r="A147" s="48"/>
      <c r="B147" s="48"/>
      <c r="C147" s="49"/>
      <c r="D147" s="50"/>
      <c r="E147" s="50"/>
      <c r="F147" s="50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2.75" customHeight="1">
      <c r="A148" s="48"/>
      <c r="B148" s="48"/>
      <c r="C148" s="49"/>
      <c r="D148" s="50"/>
      <c r="E148" s="50"/>
      <c r="F148" s="50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2.75" customHeight="1">
      <c r="A149" s="48"/>
      <c r="B149" s="48"/>
      <c r="C149" s="49"/>
      <c r="D149" s="50"/>
      <c r="E149" s="50"/>
      <c r="F149" s="50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2.75" customHeight="1">
      <c r="A150" s="48"/>
      <c r="B150" s="48"/>
      <c r="C150" s="49"/>
      <c r="D150" s="50"/>
      <c r="E150" s="50"/>
      <c r="F150" s="50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2.75" customHeight="1">
      <c r="A151" s="48"/>
      <c r="B151" s="48"/>
      <c r="C151" s="49"/>
      <c r="D151" s="50"/>
      <c r="E151" s="50"/>
      <c r="F151" s="50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2.75" customHeight="1">
      <c r="A152" s="48"/>
      <c r="B152" s="48"/>
      <c r="C152" s="49"/>
      <c r="D152" s="50"/>
      <c r="E152" s="50"/>
      <c r="F152" s="50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2.75" customHeight="1">
      <c r="A153" s="48"/>
      <c r="B153" s="48"/>
      <c r="C153" s="49"/>
      <c r="D153" s="50"/>
      <c r="E153" s="50"/>
      <c r="F153" s="50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2.75" customHeight="1">
      <c r="A154" s="48"/>
      <c r="B154" s="48"/>
      <c r="C154" s="49"/>
      <c r="D154" s="50"/>
      <c r="E154" s="50"/>
      <c r="F154" s="50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2.75" customHeight="1">
      <c r="A155" s="48"/>
      <c r="B155" s="48"/>
      <c r="C155" s="49"/>
      <c r="D155" s="50"/>
      <c r="E155" s="50"/>
      <c r="F155" s="50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2.75" customHeight="1">
      <c r="A156" s="48"/>
      <c r="B156" s="48"/>
      <c r="C156" s="49"/>
      <c r="D156" s="50"/>
      <c r="E156" s="50"/>
      <c r="F156" s="50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2.75" customHeight="1">
      <c r="A157" s="48"/>
      <c r="B157" s="48"/>
      <c r="C157" s="49"/>
      <c r="D157" s="50"/>
      <c r="E157" s="50"/>
      <c r="F157" s="50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2.75" customHeight="1">
      <c r="A158" s="48"/>
      <c r="B158" s="48"/>
      <c r="C158" s="49"/>
      <c r="D158" s="50"/>
      <c r="E158" s="50"/>
      <c r="F158" s="50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2.75" customHeight="1">
      <c r="A159" s="48"/>
      <c r="B159" s="48"/>
      <c r="C159" s="49"/>
      <c r="D159" s="50"/>
      <c r="E159" s="50"/>
      <c r="F159" s="50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2.75" customHeight="1">
      <c r="A160" s="48"/>
      <c r="B160" s="48"/>
      <c r="C160" s="49"/>
      <c r="D160" s="50"/>
      <c r="E160" s="50"/>
      <c r="F160" s="50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2.75" customHeight="1">
      <c r="A161" s="48"/>
      <c r="B161" s="48"/>
      <c r="C161" s="49"/>
      <c r="D161" s="50"/>
      <c r="E161" s="50"/>
      <c r="F161" s="50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2.75" customHeight="1">
      <c r="A162" s="48"/>
      <c r="B162" s="48"/>
      <c r="C162" s="49"/>
      <c r="D162" s="50"/>
      <c r="E162" s="50"/>
      <c r="F162" s="50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2.75" customHeight="1">
      <c r="A163" s="48"/>
      <c r="B163" s="48"/>
      <c r="C163" s="49"/>
      <c r="D163" s="50"/>
      <c r="E163" s="50"/>
      <c r="F163" s="50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2.75" customHeight="1">
      <c r="A164" s="48"/>
      <c r="B164" s="48"/>
      <c r="C164" s="49"/>
      <c r="D164" s="50"/>
      <c r="E164" s="50"/>
      <c r="F164" s="50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2.75" customHeight="1">
      <c r="A165" s="48"/>
      <c r="B165" s="48"/>
      <c r="C165" s="49"/>
      <c r="D165" s="50"/>
      <c r="E165" s="50"/>
      <c r="F165" s="50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2.75" customHeight="1">
      <c r="A166" s="48"/>
      <c r="B166" s="48"/>
      <c r="C166" s="49"/>
      <c r="D166" s="50"/>
      <c r="E166" s="50"/>
      <c r="F166" s="50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2.75" customHeight="1">
      <c r="A167" s="48"/>
      <c r="B167" s="48"/>
      <c r="C167" s="49"/>
      <c r="D167" s="50"/>
      <c r="E167" s="50"/>
      <c r="F167" s="50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2.75" customHeight="1">
      <c r="A168" s="48"/>
      <c r="B168" s="48"/>
      <c r="C168" s="49"/>
      <c r="D168" s="50"/>
      <c r="E168" s="50"/>
      <c r="F168" s="50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2.75" customHeight="1">
      <c r="A169" s="48"/>
      <c r="B169" s="48"/>
      <c r="C169" s="49"/>
      <c r="D169" s="50"/>
      <c r="E169" s="50"/>
      <c r="F169" s="50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2.75" customHeight="1">
      <c r="A170" s="48"/>
      <c r="B170" s="48"/>
      <c r="C170" s="49"/>
      <c r="D170" s="50"/>
      <c r="E170" s="50"/>
      <c r="F170" s="50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2.75" customHeight="1">
      <c r="A171" s="48"/>
      <c r="B171" s="48"/>
      <c r="C171" s="49"/>
      <c r="D171" s="50"/>
      <c r="E171" s="50"/>
      <c r="F171" s="50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2.75" customHeight="1">
      <c r="A172" s="48"/>
      <c r="B172" s="48"/>
      <c r="C172" s="49"/>
      <c r="D172" s="50"/>
      <c r="E172" s="50"/>
      <c r="F172" s="50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2.75" customHeight="1">
      <c r="A173" s="48"/>
      <c r="B173" s="48"/>
      <c r="C173" s="49"/>
      <c r="D173" s="50"/>
      <c r="E173" s="50"/>
      <c r="F173" s="50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2.75" customHeight="1">
      <c r="A174" s="48"/>
      <c r="B174" s="48"/>
      <c r="C174" s="49"/>
      <c r="D174" s="50"/>
      <c r="E174" s="50"/>
      <c r="F174" s="50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2.75" customHeight="1">
      <c r="A175" s="48"/>
      <c r="B175" s="48"/>
      <c r="C175" s="49"/>
      <c r="D175" s="50"/>
      <c r="E175" s="50"/>
      <c r="F175" s="50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2.75" customHeight="1">
      <c r="A176" s="48"/>
      <c r="B176" s="48"/>
      <c r="C176" s="49"/>
      <c r="D176" s="50"/>
      <c r="E176" s="50"/>
      <c r="F176" s="50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2.75" customHeight="1">
      <c r="A177" s="48"/>
      <c r="B177" s="48"/>
      <c r="C177" s="49"/>
      <c r="D177" s="50"/>
      <c r="E177" s="50"/>
      <c r="F177" s="50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2.75" customHeight="1">
      <c r="A178" s="48"/>
      <c r="B178" s="48"/>
      <c r="C178" s="49"/>
      <c r="D178" s="50"/>
      <c r="E178" s="50"/>
      <c r="F178" s="50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2.75" customHeight="1">
      <c r="A179" s="48"/>
      <c r="B179" s="48"/>
      <c r="C179" s="49"/>
      <c r="D179" s="50"/>
      <c r="E179" s="50"/>
      <c r="F179" s="50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2.75" customHeight="1">
      <c r="A180" s="48"/>
      <c r="B180" s="48"/>
      <c r="C180" s="49"/>
      <c r="D180" s="50"/>
      <c r="E180" s="50"/>
      <c r="F180" s="50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2.75" customHeight="1">
      <c r="A181" s="48"/>
      <c r="B181" s="48"/>
      <c r="C181" s="49"/>
      <c r="D181" s="50"/>
      <c r="E181" s="50"/>
      <c r="F181" s="50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2.75" customHeight="1">
      <c r="A182" s="48"/>
      <c r="B182" s="48"/>
      <c r="C182" s="49"/>
      <c r="D182" s="50"/>
      <c r="E182" s="50"/>
      <c r="F182" s="50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2.75" customHeight="1">
      <c r="A183" s="48"/>
      <c r="B183" s="48"/>
      <c r="C183" s="49"/>
      <c r="D183" s="50"/>
      <c r="E183" s="50"/>
      <c r="F183" s="50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2.75" customHeight="1">
      <c r="A184" s="48"/>
      <c r="B184" s="48"/>
      <c r="C184" s="49"/>
      <c r="D184" s="50"/>
      <c r="E184" s="50"/>
      <c r="F184" s="50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2.75" customHeight="1">
      <c r="A185" s="48"/>
      <c r="B185" s="48"/>
      <c r="C185" s="49"/>
      <c r="D185" s="50"/>
      <c r="E185" s="50"/>
      <c r="F185" s="50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2.75" customHeight="1">
      <c r="A186" s="48"/>
      <c r="B186" s="48"/>
      <c r="C186" s="49"/>
      <c r="D186" s="50"/>
      <c r="E186" s="50"/>
      <c r="F186" s="50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2.75" customHeight="1">
      <c r="A187" s="48"/>
      <c r="B187" s="48"/>
      <c r="C187" s="49"/>
      <c r="D187" s="50"/>
      <c r="E187" s="50"/>
      <c r="F187" s="50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2.75" customHeight="1">
      <c r="A188" s="48"/>
      <c r="B188" s="48"/>
      <c r="C188" s="49"/>
      <c r="D188" s="50"/>
      <c r="E188" s="50"/>
      <c r="F188" s="50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2.75" customHeight="1">
      <c r="A189" s="48"/>
      <c r="B189" s="48"/>
      <c r="C189" s="49"/>
      <c r="D189" s="50"/>
      <c r="E189" s="50"/>
      <c r="F189" s="50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2.75" customHeight="1">
      <c r="A190" s="48"/>
      <c r="B190" s="48"/>
      <c r="C190" s="49"/>
      <c r="D190" s="50"/>
      <c r="E190" s="50"/>
      <c r="F190" s="50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2.75" customHeight="1">
      <c r="A191" s="48"/>
      <c r="B191" s="48"/>
      <c r="C191" s="49"/>
      <c r="D191" s="50"/>
      <c r="E191" s="50"/>
      <c r="F191" s="50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2.75" customHeight="1">
      <c r="A192" s="48"/>
      <c r="B192" s="48"/>
      <c r="C192" s="49"/>
      <c r="D192" s="50"/>
      <c r="E192" s="50"/>
      <c r="F192" s="50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2.75" customHeight="1">
      <c r="A193" s="48"/>
      <c r="B193" s="48"/>
      <c r="C193" s="49"/>
      <c r="D193" s="50"/>
      <c r="E193" s="50"/>
      <c r="F193" s="50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2.75" customHeight="1">
      <c r="A194" s="48"/>
      <c r="B194" s="48"/>
      <c r="C194" s="49"/>
      <c r="D194" s="50"/>
      <c r="E194" s="50"/>
      <c r="F194" s="50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2.75" customHeight="1">
      <c r="A195" s="48"/>
      <c r="B195" s="48"/>
      <c r="C195" s="49"/>
      <c r="D195" s="50"/>
      <c r="E195" s="50"/>
      <c r="F195" s="50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2.75" customHeight="1">
      <c r="A196" s="48"/>
      <c r="B196" s="48"/>
      <c r="C196" s="49"/>
      <c r="D196" s="50"/>
      <c r="E196" s="50"/>
      <c r="F196" s="50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2.75" customHeight="1">
      <c r="A197" s="48"/>
      <c r="B197" s="48"/>
      <c r="C197" s="49"/>
      <c r="D197" s="50"/>
      <c r="E197" s="50"/>
      <c r="F197" s="50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2.75" customHeight="1">
      <c r="A198" s="48"/>
      <c r="B198" s="48"/>
      <c r="C198" s="49"/>
      <c r="D198" s="50"/>
      <c r="E198" s="50"/>
      <c r="F198" s="50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2.75" customHeight="1">
      <c r="A199" s="48"/>
      <c r="B199" s="48"/>
      <c r="C199" s="49"/>
      <c r="D199" s="50"/>
      <c r="E199" s="50"/>
      <c r="F199" s="50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2.75" customHeight="1">
      <c r="A200" s="48"/>
      <c r="B200" s="48"/>
      <c r="C200" s="49"/>
      <c r="D200" s="50"/>
      <c r="E200" s="50"/>
      <c r="F200" s="50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2.75" customHeight="1">
      <c r="A201" s="48"/>
      <c r="B201" s="48"/>
      <c r="C201" s="49"/>
      <c r="D201" s="50"/>
      <c r="E201" s="50"/>
      <c r="F201" s="50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2.75" customHeight="1">
      <c r="A202" s="48"/>
      <c r="B202" s="48"/>
      <c r="C202" s="49"/>
      <c r="D202" s="50"/>
      <c r="E202" s="50"/>
      <c r="F202" s="50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2.75" customHeight="1">
      <c r="A203" s="48"/>
      <c r="B203" s="48"/>
      <c r="C203" s="49"/>
      <c r="D203" s="50"/>
      <c r="E203" s="50"/>
      <c r="F203" s="50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2.75" customHeight="1">
      <c r="A204" s="48"/>
      <c r="B204" s="48"/>
      <c r="C204" s="49"/>
      <c r="D204" s="50"/>
      <c r="E204" s="50"/>
      <c r="F204" s="50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2.75" customHeight="1">
      <c r="A205" s="48"/>
      <c r="B205" s="48"/>
      <c r="C205" s="49"/>
      <c r="D205" s="50"/>
      <c r="E205" s="50"/>
      <c r="F205" s="50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2.75" customHeight="1">
      <c r="A206" s="48"/>
      <c r="B206" s="48"/>
      <c r="C206" s="49"/>
      <c r="D206" s="50"/>
      <c r="E206" s="50"/>
      <c r="F206" s="50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2.75" customHeight="1">
      <c r="A207" s="48"/>
      <c r="B207" s="48"/>
      <c r="C207" s="49"/>
      <c r="D207" s="50"/>
      <c r="E207" s="50"/>
      <c r="F207" s="50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2.75" customHeight="1">
      <c r="A208" s="48"/>
      <c r="B208" s="48"/>
      <c r="C208" s="49"/>
      <c r="D208" s="50"/>
      <c r="E208" s="50"/>
      <c r="F208" s="50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2.75" customHeight="1">
      <c r="A209" s="48"/>
      <c r="B209" s="48"/>
      <c r="C209" s="49"/>
      <c r="D209" s="50"/>
      <c r="E209" s="50"/>
      <c r="F209" s="50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2.75" customHeight="1">
      <c r="A210" s="48"/>
      <c r="B210" s="48"/>
      <c r="C210" s="49"/>
      <c r="D210" s="50"/>
      <c r="E210" s="50"/>
      <c r="F210" s="50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2.75" customHeight="1">
      <c r="A211" s="48"/>
      <c r="B211" s="48"/>
      <c r="C211" s="49"/>
      <c r="D211" s="50"/>
      <c r="E211" s="50"/>
      <c r="F211" s="50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2.75" customHeight="1">
      <c r="A212" s="48"/>
      <c r="B212" s="48"/>
      <c r="C212" s="49"/>
      <c r="D212" s="50"/>
      <c r="E212" s="50"/>
      <c r="F212" s="50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2.75" customHeight="1">
      <c r="A213" s="48"/>
      <c r="B213" s="48"/>
      <c r="C213" s="49"/>
      <c r="D213" s="50"/>
      <c r="E213" s="50"/>
      <c r="F213" s="50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2.75" customHeight="1">
      <c r="A214" s="48"/>
      <c r="B214" s="48"/>
      <c r="C214" s="49"/>
      <c r="D214" s="50"/>
      <c r="E214" s="50"/>
      <c r="F214" s="50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2.75" customHeight="1">
      <c r="A215" s="48"/>
      <c r="B215" s="48"/>
      <c r="C215" s="49"/>
      <c r="D215" s="50"/>
      <c r="E215" s="50"/>
      <c r="F215" s="50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2.75" customHeight="1">
      <c r="A216" s="48"/>
      <c r="B216" s="48"/>
      <c r="C216" s="49"/>
      <c r="D216" s="50"/>
      <c r="E216" s="50"/>
      <c r="F216" s="50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2.75" customHeight="1">
      <c r="A217" s="48"/>
      <c r="B217" s="48"/>
      <c r="C217" s="49"/>
      <c r="D217" s="50"/>
      <c r="E217" s="50"/>
      <c r="F217" s="50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2.75" customHeight="1">
      <c r="A218" s="48"/>
      <c r="B218" s="48"/>
      <c r="C218" s="49"/>
      <c r="D218" s="50"/>
      <c r="E218" s="50"/>
      <c r="F218" s="50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2.75" customHeight="1">
      <c r="A219" s="48"/>
      <c r="B219" s="48"/>
      <c r="C219" s="49"/>
      <c r="D219" s="50"/>
      <c r="E219" s="50"/>
      <c r="F219" s="50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2.75" customHeight="1">
      <c r="A220" s="48"/>
      <c r="B220" s="48"/>
      <c r="C220" s="49"/>
      <c r="D220" s="50"/>
      <c r="E220" s="50"/>
      <c r="F220" s="50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2.75" customHeight="1">
      <c r="A221" s="48"/>
      <c r="B221" s="48"/>
      <c r="C221" s="49"/>
      <c r="D221" s="50"/>
      <c r="E221" s="50"/>
      <c r="F221" s="50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2.75" customHeight="1">
      <c r="A222" s="48"/>
      <c r="B222" s="48"/>
      <c r="C222" s="49"/>
      <c r="D222" s="50"/>
      <c r="E222" s="50"/>
      <c r="F222" s="50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2.75" customHeight="1">
      <c r="A223" s="48"/>
      <c r="B223" s="48"/>
      <c r="C223" s="49"/>
      <c r="D223" s="50"/>
      <c r="E223" s="50"/>
      <c r="F223" s="50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2.75" customHeight="1">
      <c r="A224" s="48"/>
      <c r="B224" s="48"/>
      <c r="C224" s="49"/>
      <c r="D224" s="50"/>
      <c r="E224" s="50"/>
      <c r="F224" s="50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2.75" customHeight="1">
      <c r="A225" s="48"/>
      <c r="B225" s="48"/>
      <c r="C225" s="49"/>
      <c r="D225" s="50"/>
      <c r="E225" s="50"/>
      <c r="F225" s="50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2.75" customHeight="1">
      <c r="A226" s="48"/>
      <c r="B226" s="48"/>
      <c r="C226" s="49"/>
      <c r="D226" s="50"/>
      <c r="E226" s="50"/>
      <c r="F226" s="50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2.75" customHeight="1">
      <c r="A227" s="48"/>
      <c r="B227" s="48"/>
      <c r="C227" s="49"/>
      <c r="D227" s="50"/>
      <c r="E227" s="50"/>
      <c r="F227" s="50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2.75" customHeight="1">
      <c r="A228" s="48"/>
      <c r="B228" s="48"/>
      <c r="C228" s="49"/>
      <c r="D228" s="50"/>
      <c r="E228" s="50"/>
      <c r="F228" s="50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2.75" customHeight="1">
      <c r="A229" s="48"/>
      <c r="B229" s="48"/>
      <c r="C229" s="49"/>
      <c r="D229" s="50"/>
      <c r="E229" s="50"/>
      <c r="F229" s="50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2.75" customHeight="1">
      <c r="A230" s="48"/>
      <c r="B230" s="48"/>
      <c r="C230" s="49"/>
      <c r="D230" s="50"/>
      <c r="E230" s="50"/>
      <c r="F230" s="50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2.75" customHeight="1">
      <c r="A231" s="48"/>
      <c r="B231" s="48"/>
      <c r="C231" s="49"/>
      <c r="D231" s="50"/>
      <c r="E231" s="50"/>
      <c r="F231" s="50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2.75" customHeight="1">
      <c r="A232" s="48"/>
      <c r="B232" s="48"/>
      <c r="C232" s="49"/>
      <c r="D232" s="50"/>
      <c r="E232" s="50"/>
      <c r="F232" s="50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2.75" customHeight="1">
      <c r="A233" s="48"/>
      <c r="B233" s="48"/>
      <c r="C233" s="49"/>
      <c r="D233" s="50"/>
      <c r="E233" s="50"/>
      <c r="F233" s="50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2.75" customHeight="1">
      <c r="A234" s="48"/>
      <c r="B234" s="48"/>
      <c r="C234" s="49"/>
      <c r="D234" s="50"/>
      <c r="E234" s="50"/>
      <c r="F234" s="50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2.75" customHeight="1">
      <c r="A235" s="48"/>
      <c r="B235" s="48"/>
      <c r="C235" s="49"/>
      <c r="D235" s="50"/>
      <c r="E235" s="50"/>
      <c r="F235" s="50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2.75" customHeight="1">
      <c r="A236" s="48"/>
      <c r="B236" s="48"/>
      <c r="C236" s="49"/>
      <c r="D236" s="50"/>
      <c r="E236" s="50"/>
      <c r="F236" s="50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2.75" customHeight="1">
      <c r="A237" s="48"/>
      <c r="B237" s="48"/>
      <c r="C237" s="49"/>
      <c r="D237" s="50"/>
      <c r="E237" s="50"/>
      <c r="F237" s="50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2.75" customHeight="1">
      <c r="A238" s="48"/>
      <c r="B238" s="48"/>
      <c r="C238" s="49"/>
      <c r="D238" s="50"/>
      <c r="E238" s="50"/>
      <c r="F238" s="50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2.75" customHeight="1">
      <c r="A239" s="48"/>
      <c r="B239" s="48"/>
      <c r="C239" s="49"/>
      <c r="D239" s="50"/>
      <c r="E239" s="50"/>
      <c r="F239" s="50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2.75" customHeight="1">
      <c r="A240" s="48"/>
      <c r="B240" s="48"/>
      <c r="C240" s="49"/>
      <c r="D240" s="50"/>
      <c r="E240" s="50"/>
      <c r="F240" s="50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2.75" customHeight="1">
      <c r="A241" s="48"/>
      <c r="B241" s="48"/>
      <c r="C241" s="49"/>
      <c r="D241" s="50"/>
      <c r="E241" s="50"/>
      <c r="F241" s="50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2.75" customHeight="1">
      <c r="A242" s="48"/>
      <c r="B242" s="48"/>
      <c r="C242" s="49"/>
      <c r="D242" s="50"/>
      <c r="E242" s="50"/>
      <c r="F242" s="50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2.75" customHeight="1">
      <c r="A243" s="48"/>
      <c r="B243" s="48"/>
      <c r="C243" s="49"/>
      <c r="D243" s="50"/>
      <c r="E243" s="50"/>
      <c r="F243" s="50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2.75" customHeight="1">
      <c r="A244" s="48"/>
      <c r="B244" s="48"/>
      <c r="C244" s="49"/>
      <c r="D244" s="50"/>
      <c r="E244" s="50"/>
      <c r="F244" s="50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2.75" customHeight="1">
      <c r="A245" s="48"/>
      <c r="B245" s="48"/>
      <c r="C245" s="49"/>
      <c r="D245" s="50"/>
      <c r="E245" s="50"/>
      <c r="F245" s="50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2.75" customHeight="1">
      <c r="A246" s="48"/>
      <c r="B246" s="48"/>
      <c r="C246" s="49"/>
      <c r="D246" s="50"/>
      <c r="E246" s="50"/>
      <c r="F246" s="50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2.75" customHeight="1">
      <c r="A247" s="48"/>
      <c r="B247" s="48"/>
      <c r="C247" s="49"/>
      <c r="D247" s="50"/>
      <c r="E247" s="50"/>
      <c r="F247" s="50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2.75" customHeight="1">
      <c r="A248" s="48"/>
      <c r="B248" s="48"/>
      <c r="C248" s="49"/>
      <c r="D248" s="50"/>
      <c r="E248" s="50"/>
      <c r="F248" s="50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2.75" customHeight="1">
      <c r="A249" s="48"/>
      <c r="B249" s="48"/>
      <c r="C249" s="49"/>
      <c r="D249" s="50"/>
      <c r="E249" s="50"/>
      <c r="F249" s="50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2.75" customHeight="1">
      <c r="A250" s="48"/>
      <c r="B250" s="48"/>
      <c r="C250" s="49"/>
      <c r="D250" s="50"/>
      <c r="E250" s="50"/>
      <c r="F250" s="50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2.75" customHeight="1">
      <c r="A251" s="48"/>
      <c r="B251" s="48"/>
      <c r="C251" s="49"/>
      <c r="D251" s="50"/>
      <c r="E251" s="50"/>
      <c r="F251" s="50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2.75" customHeight="1">
      <c r="A252" s="48"/>
      <c r="B252" s="48"/>
      <c r="C252" s="49"/>
      <c r="D252" s="50"/>
      <c r="E252" s="50"/>
      <c r="F252" s="50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2.75" customHeight="1">
      <c r="A253" s="48"/>
      <c r="B253" s="48"/>
      <c r="C253" s="49"/>
      <c r="D253" s="50"/>
      <c r="E253" s="50"/>
      <c r="F253" s="50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2.75" customHeight="1">
      <c r="A254" s="48"/>
      <c r="B254" s="48"/>
      <c r="C254" s="49"/>
      <c r="D254" s="50"/>
      <c r="E254" s="50"/>
      <c r="F254" s="50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2.75" customHeight="1">
      <c r="A255" s="48"/>
      <c r="B255" s="48"/>
      <c r="C255" s="49"/>
      <c r="D255" s="50"/>
      <c r="E255" s="50"/>
      <c r="F255" s="50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2.75" customHeight="1">
      <c r="A256" s="48"/>
      <c r="B256" s="48"/>
      <c r="C256" s="49"/>
      <c r="D256" s="50"/>
      <c r="E256" s="50"/>
      <c r="F256" s="50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2.75" customHeight="1">
      <c r="A257" s="48"/>
      <c r="B257" s="48"/>
      <c r="C257" s="49"/>
      <c r="D257" s="50"/>
      <c r="E257" s="50"/>
      <c r="F257" s="50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2.75" customHeight="1">
      <c r="A258" s="48"/>
      <c r="B258" s="48"/>
      <c r="C258" s="49"/>
      <c r="D258" s="50"/>
      <c r="E258" s="50"/>
      <c r="F258" s="50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2.75" customHeight="1">
      <c r="A259" s="48"/>
      <c r="B259" s="48"/>
      <c r="C259" s="49"/>
      <c r="D259" s="50"/>
      <c r="E259" s="50"/>
      <c r="F259" s="50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2.75" customHeight="1">
      <c r="A260" s="48"/>
      <c r="B260" s="48"/>
      <c r="C260" s="49"/>
      <c r="D260" s="50"/>
      <c r="E260" s="50"/>
      <c r="F260" s="50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2.75" customHeight="1">
      <c r="A261" s="48"/>
      <c r="B261" s="48"/>
      <c r="C261" s="49"/>
      <c r="D261" s="50"/>
      <c r="E261" s="50"/>
      <c r="F261" s="50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2.75" customHeight="1">
      <c r="A262" s="48"/>
      <c r="B262" s="48"/>
      <c r="C262" s="49"/>
      <c r="D262" s="50"/>
      <c r="E262" s="50"/>
      <c r="F262" s="50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2.75" customHeight="1">
      <c r="A263" s="48"/>
      <c r="B263" s="48"/>
      <c r="C263" s="49"/>
      <c r="D263" s="50"/>
      <c r="E263" s="50"/>
      <c r="F263" s="50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2.75" customHeight="1">
      <c r="A264" s="48"/>
      <c r="B264" s="48"/>
      <c r="C264" s="49"/>
      <c r="D264" s="50"/>
      <c r="E264" s="50"/>
      <c r="F264" s="50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2.75" customHeight="1">
      <c r="A265" s="48"/>
      <c r="B265" s="48"/>
      <c r="C265" s="49"/>
      <c r="D265" s="50"/>
      <c r="E265" s="50"/>
      <c r="F265" s="50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2.75" customHeight="1">
      <c r="A266" s="48"/>
      <c r="B266" s="48"/>
      <c r="C266" s="49"/>
      <c r="D266" s="50"/>
      <c r="E266" s="50"/>
      <c r="F266" s="50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2.75" customHeight="1">
      <c r="A267" s="48"/>
      <c r="B267" s="48"/>
      <c r="C267" s="49"/>
      <c r="D267" s="50"/>
      <c r="E267" s="50"/>
      <c r="F267" s="50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2.75" customHeight="1">
      <c r="A268" s="48"/>
      <c r="B268" s="48"/>
      <c r="C268" s="49"/>
      <c r="D268" s="50"/>
      <c r="E268" s="50"/>
      <c r="F268" s="50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2.75" customHeight="1">
      <c r="A269" s="48"/>
      <c r="B269" s="48"/>
      <c r="C269" s="49"/>
      <c r="D269" s="50"/>
      <c r="E269" s="50"/>
      <c r="F269" s="50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2.75" customHeight="1">
      <c r="A270" s="48"/>
      <c r="B270" s="48"/>
      <c r="C270" s="49"/>
      <c r="D270" s="50"/>
      <c r="E270" s="50"/>
      <c r="F270" s="50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2.75" customHeight="1">
      <c r="A271" s="48"/>
      <c r="B271" s="48"/>
      <c r="C271" s="49"/>
      <c r="D271" s="50"/>
      <c r="E271" s="50"/>
      <c r="F271" s="50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2.75" customHeight="1">
      <c r="A272" s="48"/>
      <c r="B272" s="48"/>
      <c r="C272" s="49"/>
      <c r="D272" s="50"/>
      <c r="E272" s="50"/>
      <c r="F272" s="50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2.75" customHeight="1">
      <c r="A273" s="48"/>
      <c r="B273" s="48"/>
      <c r="C273" s="49"/>
      <c r="D273" s="50"/>
      <c r="E273" s="50"/>
      <c r="F273" s="50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2.75" customHeight="1">
      <c r="A274" s="48"/>
      <c r="B274" s="48"/>
      <c r="C274" s="49"/>
      <c r="D274" s="50"/>
      <c r="E274" s="50"/>
      <c r="F274" s="50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2.75" customHeight="1">
      <c r="A275" s="48"/>
      <c r="B275" s="48"/>
      <c r="C275" s="49"/>
      <c r="D275" s="50"/>
      <c r="E275" s="50"/>
      <c r="F275" s="50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2.75" customHeight="1">
      <c r="A276" s="48"/>
      <c r="B276" s="48"/>
      <c r="C276" s="49"/>
      <c r="D276" s="50"/>
      <c r="E276" s="50"/>
      <c r="F276" s="50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2.75" customHeight="1">
      <c r="A277" s="48"/>
      <c r="B277" s="48"/>
      <c r="C277" s="49"/>
      <c r="D277" s="50"/>
      <c r="E277" s="50"/>
      <c r="F277" s="50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2.75" customHeight="1">
      <c r="A278" s="48"/>
      <c r="B278" s="48"/>
      <c r="C278" s="49"/>
      <c r="D278" s="50"/>
      <c r="E278" s="50"/>
      <c r="F278" s="50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2.75" customHeight="1">
      <c r="A279" s="48"/>
      <c r="B279" s="48"/>
      <c r="C279" s="49"/>
      <c r="D279" s="50"/>
      <c r="E279" s="50"/>
      <c r="F279" s="50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2.75" customHeight="1">
      <c r="A280" s="48"/>
      <c r="B280" s="48"/>
      <c r="C280" s="49"/>
      <c r="D280" s="50"/>
      <c r="E280" s="50"/>
      <c r="F280" s="50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2.75" customHeight="1">
      <c r="A281" s="48"/>
      <c r="B281" s="48"/>
      <c r="C281" s="49"/>
      <c r="D281" s="50"/>
      <c r="E281" s="50"/>
      <c r="F281" s="50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2.75" customHeight="1">
      <c r="A282" s="48"/>
      <c r="B282" s="48"/>
      <c r="C282" s="49"/>
      <c r="D282" s="50"/>
      <c r="E282" s="50"/>
      <c r="F282" s="50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2.75" customHeight="1">
      <c r="A283" s="48"/>
      <c r="B283" s="48"/>
      <c r="C283" s="49"/>
      <c r="D283" s="50"/>
      <c r="E283" s="50"/>
      <c r="F283" s="50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2.75" customHeight="1">
      <c r="A284" s="48"/>
      <c r="B284" s="48"/>
      <c r="C284" s="49"/>
      <c r="D284" s="50"/>
      <c r="E284" s="50"/>
      <c r="F284" s="50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2.75" customHeight="1">
      <c r="A285" s="48"/>
      <c r="B285" s="48"/>
      <c r="C285" s="49"/>
      <c r="D285" s="50"/>
      <c r="E285" s="50"/>
      <c r="F285" s="50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2.75" customHeight="1">
      <c r="A286" s="48"/>
      <c r="B286" s="48"/>
      <c r="C286" s="49"/>
      <c r="D286" s="50"/>
      <c r="E286" s="50"/>
      <c r="F286" s="50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2.75" customHeight="1">
      <c r="A287" s="48"/>
      <c r="B287" s="48"/>
      <c r="C287" s="49"/>
      <c r="D287" s="50"/>
      <c r="E287" s="50"/>
      <c r="F287" s="50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2.75" customHeight="1">
      <c r="A288" s="48"/>
      <c r="B288" s="48"/>
      <c r="C288" s="49"/>
      <c r="D288" s="50"/>
      <c r="E288" s="50"/>
      <c r="F288" s="50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2.75" customHeight="1">
      <c r="A289" s="48"/>
      <c r="B289" s="48"/>
      <c r="C289" s="49"/>
      <c r="D289" s="50"/>
      <c r="E289" s="50"/>
      <c r="F289" s="50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2.75" customHeight="1">
      <c r="A290" s="48"/>
      <c r="B290" s="48"/>
      <c r="C290" s="49"/>
      <c r="D290" s="50"/>
      <c r="E290" s="50"/>
      <c r="F290" s="50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2.75" customHeight="1">
      <c r="A291" s="48"/>
      <c r="B291" s="48"/>
      <c r="C291" s="49"/>
      <c r="D291" s="50"/>
      <c r="E291" s="50"/>
      <c r="F291" s="50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2.75" customHeight="1">
      <c r="A292" s="48"/>
      <c r="B292" s="48"/>
      <c r="C292" s="49"/>
      <c r="D292" s="50"/>
      <c r="E292" s="50"/>
      <c r="F292" s="50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2.75" customHeight="1">
      <c r="A293" s="48"/>
      <c r="B293" s="48"/>
      <c r="C293" s="49"/>
      <c r="D293" s="50"/>
      <c r="E293" s="50"/>
      <c r="F293" s="50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2.75" customHeight="1">
      <c r="A294" s="48"/>
      <c r="B294" s="48"/>
      <c r="C294" s="49"/>
      <c r="D294" s="50"/>
      <c r="E294" s="50"/>
      <c r="F294" s="50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2.75" customHeight="1">
      <c r="A295" s="48"/>
      <c r="B295" s="48"/>
      <c r="C295" s="49"/>
      <c r="D295" s="50"/>
      <c r="E295" s="50"/>
      <c r="F295" s="50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2.75" customHeight="1">
      <c r="A296" s="48"/>
      <c r="B296" s="48"/>
      <c r="C296" s="49"/>
      <c r="D296" s="50"/>
      <c r="E296" s="50"/>
      <c r="F296" s="50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2.75" customHeight="1">
      <c r="A297" s="48"/>
      <c r="B297" s="48"/>
      <c r="C297" s="49"/>
      <c r="D297" s="50"/>
      <c r="E297" s="50"/>
      <c r="F297" s="50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2.75" customHeight="1">
      <c r="A298" s="48"/>
      <c r="B298" s="48"/>
      <c r="C298" s="49"/>
      <c r="D298" s="50"/>
      <c r="E298" s="50"/>
      <c r="F298" s="50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2.75" customHeight="1">
      <c r="A299" s="48"/>
      <c r="B299" s="48"/>
      <c r="C299" s="49"/>
      <c r="D299" s="50"/>
      <c r="E299" s="50"/>
      <c r="F299" s="50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2.75" customHeight="1">
      <c r="A300" s="48"/>
      <c r="B300" s="48"/>
      <c r="C300" s="49"/>
      <c r="D300" s="50"/>
      <c r="E300" s="50"/>
      <c r="F300" s="50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2.75" customHeight="1">
      <c r="A301" s="48"/>
      <c r="B301" s="48"/>
      <c r="C301" s="49"/>
      <c r="D301" s="50"/>
      <c r="E301" s="50"/>
      <c r="F301" s="50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2.75" customHeight="1">
      <c r="A302" s="48"/>
      <c r="B302" s="48"/>
      <c r="C302" s="49"/>
      <c r="D302" s="50"/>
      <c r="E302" s="50"/>
      <c r="F302" s="50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2.75" customHeight="1">
      <c r="A303" s="48"/>
      <c r="B303" s="48"/>
      <c r="C303" s="49"/>
      <c r="D303" s="50"/>
      <c r="E303" s="50"/>
      <c r="F303" s="50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2.75" customHeight="1">
      <c r="A304" s="48"/>
      <c r="B304" s="48"/>
      <c r="C304" s="49"/>
      <c r="D304" s="50"/>
      <c r="E304" s="50"/>
      <c r="F304" s="50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2.75" customHeight="1">
      <c r="A305" s="48"/>
      <c r="B305" s="48"/>
      <c r="C305" s="49"/>
      <c r="D305" s="50"/>
      <c r="E305" s="50"/>
      <c r="F305" s="50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2.75" customHeight="1">
      <c r="A306" s="48"/>
      <c r="B306" s="48"/>
      <c r="C306" s="49"/>
      <c r="D306" s="50"/>
      <c r="E306" s="50"/>
      <c r="F306" s="50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2.75" customHeight="1">
      <c r="A307" s="48"/>
      <c r="B307" s="48"/>
      <c r="C307" s="49"/>
      <c r="D307" s="50"/>
      <c r="E307" s="50"/>
      <c r="F307" s="50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2.75" customHeight="1">
      <c r="A308" s="48"/>
      <c r="B308" s="48"/>
      <c r="C308" s="49"/>
      <c r="D308" s="50"/>
      <c r="E308" s="50"/>
      <c r="F308" s="50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2.75" customHeight="1">
      <c r="A309" s="48"/>
      <c r="B309" s="48"/>
      <c r="C309" s="49"/>
      <c r="D309" s="50"/>
      <c r="E309" s="50"/>
      <c r="F309" s="50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2.75" customHeight="1">
      <c r="A310" s="48"/>
      <c r="B310" s="48"/>
      <c r="C310" s="49"/>
      <c r="D310" s="50"/>
      <c r="E310" s="50"/>
      <c r="F310" s="50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2.75" customHeight="1">
      <c r="A311" s="48"/>
      <c r="B311" s="48"/>
      <c r="C311" s="49"/>
      <c r="D311" s="50"/>
      <c r="E311" s="50"/>
      <c r="F311" s="50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2.75" customHeight="1">
      <c r="A312" s="48"/>
      <c r="B312" s="48"/>
      <c r="C312" s="49"/>
      <c r="D312" s="50"/>
      <c r="E312" s="50"/>
      <c r="F312" s="50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2.75" customHeight="1">
      <c r="A313" s="48"/>
      <c r="B313" s="48"/>
      <c r="C313" s="49"/>
      <c r="D313" s="50"/>
      <c r="E313" s="50"/>
      <c r="F313" s="50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2.75" customHeight="1">
      <c r="A314" s="48"/>
      <c r="B314" s="48"/>
      <c r="C314" s="49"/>
      <c r="D314" s="50"/>
      <c r="E314" s="50"/>
      <c r="F314" s="50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2.75" customHeight="1">
      <c r="A315" s="48"/>
      <c r="B315" s="48"/>
      <c r="C315" s="49"/>
      <c r="D315" s="50"/>
      <c r="E315" s="50"/>
      <c r="F315" s="50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2.75" customHeight="1">
      <c r="A316" s="48"/>
      <c r="B316" s="48"/>
      <c r="C316" s="49"/>
      <c r="D316" s="50"/>
      <c r="E316" s="50"/>
      <c r="F316" s="50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2.75" customHeight="1">
      <c r="A317" s="48"/>
      <c r="B317" s="48"/>
      <c r="C317" s="49"/>
      <c r="D317" s="50"/>
      <c r="E317" s="50"/>
      <c r="F317" s="50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2.75" customHeight="1">
      <c r="A318" s="48"/>
      <c r="B318" s="48"/>
      <c r="C318" s="49"/>
      <c r="D318" s="50"/>
      <c r="E318" s="50"/>
      <c r="F318" s="50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2.75" customHeight="1">
      <c r="A319" s="48"/>
      <c r="B319" s="48"/>
      <c r="C319" s="49"/>
      <c r="D319" s="50"/>
      <c r="E319" s="50"/>
      <c r="F319" s="50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2.75" customHeight="1">
      <c r="A320" s="48"/>
      <c r="B320" s="48"/>
      <c r="C320" s="49"/>
      <c r="D320" s="50"/>
      <c r="E320" s="50"/>
      <c r="F320" s="50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2.75" customHeight="1">
      <c r="A321" s="48"/>
      <c r="B321" s="48"/>
      <c r="C321" s="49"/>
      <c r="D321" s="50"/>
      <c r="E321" s="50"/>
      <c r="F321" s="50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2.75" customHeight="1">
      <c r="A322" s="48"/>
      <c r="B322" s="48"/>
      <c r="C322" s="49"/>
      <c r="D322" s="50"/>
      <c r="E322" s="50"/>
      <c r="F322" s="50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2.75" customHeight="1">
      <c r="A323" s="48"/>
      <c r="B323" s="48"/>
      <c r="C323" s="49"/>
      <c r="D323" s="50"/>
      <c r="E323" s="50"/>
      <c r="F323" s="50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2.75" customHeight="1">
      <c r="A324" s="48"/>
      <c r="B324" s="48"/>
      <c r="C324" s="49"/>
      <c r="D324" s="50"/>
      <c r="E324" s="50"/>
      <c r="F324" s="50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2.75" customHeight="1">
      <c r="A325" s="48"/>
      <c r="B325" s="48"/>
      <c r="C325" s="49"/>
      <c r="D325" s="50"/>
      <c r="E325" s="50"/>
      <c r="F325" s="50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2.75" customHeight="1">
      <c r="A326" s="48"/>
      <c r="B326" s="48"/>
      <c r="C326" s="49"/>
      <c r="D326" s="50"/>
      <c r="E326" s="50"/>
      <c r="F326" s="50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2.75" customHeight="1">
      <c r="A327" s="48"/>
      <c r="B327" s="48"/>
      <c r="C327" s="49"/>
      <c r="D327" s="50"/>
      <c r="E327" s="50"/>
      <c r="F327" s="50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2.75" customHeight="1">
      <c r="A328" s="48"/>
      <c r="B328" s="48"/>
      <c r="C328" s="49"/>
      <c r="D328" s="50"/>
      <c r="E328" s="50"/>
      <c r="F328" s="50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2.75" customHeight="1">
      <c r="A329" s="48"/>
      <c r="B329" s="48"/>
      <c r="C329" s="49"/>
      <c r="D329" s="50"/>
      <c r="E329" s="50"/>
      <c r="F329" s="50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2.75" customHeight="1">
      <c r="A330" s="48"/>
      <c r="B330" s="48"/>
      <c r="C330" s="49"/>
      <c r="D330" s="50"/>
      <c r="E330" s="50"/>
      <c r="F330" s="50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2.75" customHeight="1">
      <c r="A331" s="48"/>
      <c r="B331" s="48"/>
      <c r="C331" s="49"/>
      <c r="D331" s="50"/>
      <c r="E331" s="50"/>
      <c r="F331" s="50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2.75" customHeight="1">
      <c r="A332" s="48"/>
      <c r="B332" s="48"/>
      <c r="C332" s="49"/>
      <c r="D332" s="50"/>
      <c r="E332" s="50"/>
      <c r="F332" s="50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2.75" customHeight="1">
      <c r="A333" s="48"/>
      <c r="B333" s="48"/>
      <c r="C333" s="49"/>
      <c r="D333" s="50"/>
      <c r="E333" s="50"/>
      <c r="F333" s="50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2.75" customHeight="1">
      <c r="A334" s="48"/>
      <c r="B334" s="48"/>
      <c r="C334" s="49"/>
      <c r="D334" s="50"/>
      <c r="E334" s="50"/>
      <c r="F334" s="50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2.75" customHeight="1">
      <c r="A335" s="48"/>
      <c r="B335" s="48"/>
      <c r="C335" s="49"/>
      <c r="D335" s="50"/>
      <c r="E335" s="50"/>
      <c r="F335" s="50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2.75" customHeight="1">
      <c r="A336" s="48"/>
      <c r="B336" s="48"/>
      <c r="C336" s="49"/>
      <c r="D336" s="50"/>
      <c r="E336" s="50"/>
      <c r="F336" s="50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2.75" customHeight="1">
      <c r="A337" s="48"/>
      <c r="B337" s="48"/>
      <c r="C337" s="49"/>
      <c r="D337" s="50"/>
      <c r="E337" s="50"/>
      <c r="F337" s="50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2.75" customHeight="1">
      <c r="A338" s="48"/>
      <c r="B338" s="48"/>
      <c r="C338" s="49"/>
      <c r="D338" s="50"/>
      <c r="E338" s="50"/>
      <c r="F338" s="50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2.75" customHeight="1">
      <c r="A339" s="48"/>
      <c r="B339" s="48"/>
      <c r="C339" s="49"/>
      <c r="D339" s="50"/>
      <c r="E339" s="50"/>
      <c r="F339" s="50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2.75" customHeight="1">
      <c r="A340" s="48"/>
      <c r="B340" s="48"/>
      <c r="C340" s="49"/>
      <c r="D340" s="50"/>
      <c r="E340" s="50"/>
      <c r="F340" s="50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2.75" customHeight="1">
      <c r="A341" s="48"/>
      <c r="B341" s="48"/>
      <c r="C341" s="49"/>
      <c r="D341" s="50"/>
      <c r="E341" s="50"/>
      <c r="F341" s="50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2.75" customHeight="1">
      <c r="A342" s="48"/>
      <c r="B342" s="48"/>
      <c r="C342" s="49"/>
      <c r="D342" s="50"/>
      <c r="E342" s="50"/>
      <c r="F342" s="50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2.75" customHeight="1">
      <c r="A343" s="48"/>
      <c r="B343" s="48"/>
      <c r="C343" s="49"/>
      <c r="D343" s="50"/>
      <c r="E343" s="50"/>
      <c r="F343" s="50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2.75" customHeight="1">
      <c r="A344" s="48"/>
      <c r="B344" s="48"/>
      <c r="C344" s="49"/>
      <c r="D344" s="50"/>
      <c r="E344" s="50"/>
      <c r="F344" s="50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2.75" customHeight="1">
      <c r="A345" s="48"/>
      <c r="B345" s="48"/>
      <c r="C345" s="49"/>
      <c r="D345" s="50"/>
      <c r="E345" s="50"/>
      <c r="F345" s="50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2.75" customHeight="1">
      <c r="A346" s="48"/>
      <c r="B346" s="48"/>
      <c r="C346" s="49"/>
      <c r="D346" s="50"/>
      <c r="E346" s="50"/>
      <c r="F346" s="50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2.75" customHeight="1">
      <c r="A347" s="48"/>
      <c r="B347" s="48"/>
      <c r="C347" s="49"/>
      <c r="D347" s="50"/>
      <c r="E347" s="50"/>
      <c r="F347" s="50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2.75" customHeight="1">
      <c r="A348" s="48"/>
      <c r="B348" s="48"/>
      <c r="C348" s="49"/>
      <c r="D348" s="50"/>
      <c r="E348" s="50"/>
      <c r="F348" s="50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2.75" customHeight="1">
      <c r="A349" s="48"/>
      <c r="B349" s="48"/>
      <c r="C349" s="49"/>
      <c r="D349" s="50"/>
      <c r="E349" s="50"/>
      <c r="F349" s="50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2.75" customHeight="1">
      <c r="A350" s="48"/>
      <c r="B350" s="48"/>
      <c r="C350" s="49"/>
      <c r="D350" s="50"/>
      <c r="E350" s="50"/>
      <c r="F350" s="50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2.75" customHeight="1">
      <c r="A351" s="48"/>
      <c r="B351" s="48"/>
      <c r="C351" s="49"/>
      <c r="D351" s="50"/>
      <c r="E351" s="50"/>
      <c r="F351" s="50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2.75" customHeight="1">
      <c r="A352" s="48"/>
      <c r="B352" s="48"/>
      <c r="C352" s="49"/>
      <c r="D352" s="50"/>
      <c r="E352" s="50"/>
      <c r="F352" s="50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2.75" customHeight="1">
      <c r="A353" s="48"/>
      <c r="B353" s="48"/>
      <c r="C353" s="49"/>
      <c r="D353" s="50"/>
      <c r="E353" s="50"/>
      <c r="F353" s="50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2.75" customHeight="1">
      <c r="A354" s="48"/>
      <c r="B354" s="48"/>
      <c r="C354" s="49"/>
      <c r="D354" s="50"/>
      <c r="E354" s="50"/>
      <c r="F354" s="50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2.75" customHeight="1">
      <c r="A355" s="48"/>
      <c r="B355" s="48"/>
      <c r="C355" s="49"/>
      <c r="D355" s="50"/>
      <c r="E355" s="50"/>
      <c r="F355" s="50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2.75" customHeight="1">
      <c r="A356" s="48"/>
      <c r="B356" s="48"/>
      <c r="C356" s="49"/>
      <c r="D356" s="50"/>
      <c r="E356" s="50"/>
      <c r="F356" s="50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2.75" customHeight="1">
      <c r="A357" s="48"/>
      <c r="B357" s="48"/>
      <c r="C357" s="49"/>
      <c r="D357" s="50"/>
      <c r="E357" s="50"/>
      <c r="F357" s="50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2.75" customHeight="1">
      <c r="A358" s="48"/>
      <c r="B358" s="48"/>
      <c r="C358" s="49"/>
      <c r="D358" s="50"/>
      <c r="E358" s="50"/>
      <c r="F358" s="50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2.75" customHeight="1">
      <c r="A359" s="48"/>
      <c r="B359" s="48"/>
      <c r="C359" s="49"/>
      <c r="D359" s="50"/>
      <c r="E359" s="50"/>
      <c r="F359" s="50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2.75" customHeight="1">
      <c r="A360" s="48"/>
      <c r="B360" s="48"/>
      <c r="C360" s="49"/>
      <c r="D360" s="50"/>
      <c r="E360" s="50"/>
      <c r="F360" s="50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2.75" customHeight="1">
      <c r="A361" s="48"/>
      <c r="B361" s="48"/>
      <c r="C361" s="49"/>
      <c r="D361" s="50"/>
      <c r="E361" s="50"/>
      <c r="F361" s="50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2.75" customHeight="1">
      <c r="A362" s="48"/>
      <c r="B362" s="48"/>
      <c r="C362" s="49"/>
      <c r="D362" s="50"/>
      <c r="E362" s="50"/>
      <c r="F362" s="50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2.75" customHeight="1">
      <c r="A363" s="48"/>
      <c r="B363" s="48"/>
      <c r="C363" s="49"/>
      <c r="D363" s="50"/>
      <c r="E363" s="50"/>
      <c r="F363" s="50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2.75" customHeight="1">
      <c r="A364" s="48"/>
      <c r="B364" s="48"/>
      <c r="C364" s="49"/>
      <c r="D364" s="50"/>
      <c r="E364" s="50"/>
      <c r="F364" s="50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2.75" customHeight="1">
      <c r="A365" s="48"/>
      <c r="B365" s="48"/>
      <c r="C365" s="49"/>
      <c r="D365" s="50"/>
      <c r="E365" s="50"/>
      <c r="F365" s="50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2.75" customHeight="1">
      <c r="A366" s="48"/>
      <c r="B366" s="48"/>
      <c r="C366" s="49"/>
      <c r="D366" s="50"/>
      <c r="E366" s="50"/>
      <c r="F366" s="50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2.75" customHeight="1">
      <c r="A367" s="48"/>
      <c r="B367" s="48"/>
      <c r="C367" s="49"/>
      <c r="D367" s="50"/>
      <c r="E367" s="50"/>
      <c r="F367" s="50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2.75" customHeight="1">
      <c r="A368" s="48"/>
      <c r="B368" s="48"/>
      <c r="C368" s="49"/>
      <c r="D368" s="50"/>
      <c r="E368" s="50"/>
      <c r="F368" s="50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2.75" customHeight="1">
      <c r="A369" s="48"/>
      <c r="B369" s="48"/>
      <c r="C369" s="49"/>
      <c r="D369" s="50"/>
      <c r="E369" s="50"/>
      <c r="F369" s="50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2.75" customHeight="1">
      <c r="A370" s="48"/>
      <c r="B370" s="48"/>
      <c r="C370" s="49"/>
      <c r="D370" s="50"/>
      <c r="E370" s="50"/>
      <c r="F370" s="50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2.75" customHeight="1">
      <c r="A371" s="48"/>
      <c r="B371" s="48"/>
      <c r="C371" s="49"/>
      <c r="D371" s="50"/>
      <c r="E371" s="50"/>
      <c r="F371" s="50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2.75" customHeight="1">
      <c r="A372" s="48"/>
      <c r="B372" s="48"/>
      <c r="C372" s="49"/>
      <c r="D372" s="50"/>
      <c r="E372" s="50"/>
      <c r="F372" s="50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2.75" customHeight="1">
      <c r="A373" s="48"/>
      <c r="B373" s="48"/>
      <c r="C373" s="49"/>
      <c r="D373" s="50"/>
      <c r="E373" s="50"/>
      <c r="F373" s="50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2.75" customHeight="1">
      <c r="A374" s="48"/>
      <c r="B374" s="48"/>
      <c r="C374" s="49"/>
      <c r="D374" s="50"/>
      <c r="E374" s="50"/>
      <c r="F374" s="50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2.75" customHeight="1">
      <c r="A375" s="48"/>
      <c r="B375" s="48"/>
      <c r="C375" s="49"/>
      <c r="D375" s="50"/>
      <c r="E375" s="50"/>
      <c r="F375" s="50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2.75" customHeight="1">
      <c r="A376" s="48"/>
      <c r="B376" s="48"/>
      <c r="C376" s="49"/>
      <c r="D376" s="50"/>
      <c r="E376" s="50"/>
      <c r="F376" s="50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2.75" customHeight="1">
      <c r="A377" s="48"/>
      <c r="B377" s="48"/>
      <c r="C377" s="49"/>
      <c r="D377" s="50"/>
      <c r="E377" s="50"/>
      <c r="F377" s="50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2.75" customHeight="1">
      <c r="A378" s="48"/>
      <c r="B378" s="48"/>
      <c r="C378" s="49"/>
      <c r="D378" s="50"/>
      <c r="E378" s="50"/>
      <c r="F378" s="50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2.75" customHeight="1">
      <c r="A379" s="48"/>
      <c r="B379" s="48"/>
      <c r="C379" s="49"/>
      <c r="D379" s="50"/>
      <c r="E379" s="50"/>
      <c r="F379" s="50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2.75" customHeight="1">
      <c r="A380" s="48"/>
      <c r="B380" s="48"/>
      <c r="C380" s="49"/>
      <c r="D380" s="50"/>
      <c r="E380" s="50"/>
      <c r="F380" s="50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2.75" customHeight="1">
      <c r="A381" s="48"/>
      <c r="B381" s="48"/>
      <c r="C381" s="49"/>
      <c r="D381" s="50"/>
      <c r="E381" s="50"/>
      <c r="F381" s="50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2.75" customHeight="1">
      <c r="A382" s="48"/>
      <c r="B382" s="48"/>
      <c r="C382" s="49"/>
      <c r="D382" s="50"/>
      <c r="E382" s="50"/>
      <c r="F382" s="50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2.75" customHeight="1">
      <c r="A383" s="48"/>
      <c r="B383" s="48"/>
      <c r="C383" s="49"/>
      <c r="D383" s="50"/>
      <c r="E383" s="50"/>
      <c r="F383" s="50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2.75" customHeight="1">
      <c r="A384" s="48"/>
      <c r="B384" s="48"/>
      <c r="C384" s="49"/>
      <c r="D384" s="50"/>
      <c r="E384" s="50"/>
      <c r="F384" s="50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2.75" customHeight="1">
      <c r="A385" s="48"/>
      <c r="B385" s="48"/>
      <c r="C385" s="49"/>
      <c r="D385" s="50"/>
      <c r="E385" s="50"/>
      <c r="F385" s="50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2.75" customHeight="1">
      <c r="A386" s="48"/>
      <c r="B386" s="48"/>
      <c r="C386" s="49"/>
      <c r="D386" s="50"/>
      <c r="E386" s="50"/>
      <c r="F386" s="50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2.75" customHeight="1">
      <c r="A387" s="48"/>
      <c r="B387" s="48"/>
      <c r="C387" s="49"/>
      <c r="D387" s="50"/>
      <c r="E387" s="50"/>
      <c r="F387" s="50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2.75" customHeight="1">
      <c r="A388" s="48"/>
      <c r="B388" s="48"/>
      <c r="C388" s="49"/>
      <c r="D388" s="50"/>
      <c r="E388" s="50"/>
      <c r="F388" s="50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2.75" customHeight="1">
      <c r="A389" s="48"/>
      <c r="B389" s="48"/>
      <c r="C389" s="49"/>
      <c r="D389" s="50"/>
      <c r="E389" s="50"/>
      <c r="F389" s="50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2.75" customHeight="1">
      <c r="A390" s="48"/>
      <c r="B390" s="48"/>
      <c r="C390" s="49"/>
      <c r="D390" s="50"/>
      <c r="E390" s="50"/>
      <c r="F390" s="50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2.75" customHeight="1">
      <c r="A391" s="48"/>
      <c r="B391" s="48"/>
      <c r="C391" s="49"/>
      <c r="D391" s="50"/>
      <c r="E391" s="50"/>
      <c r="F391" s="50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2.75" customHeight="1">
      <c r="A392" s="48"/>
      <c r="B392" s="48"/>
      <c r="C392" s="49"/>
      <c r="D392" s="50"/>
      <c r="E392" s="50"/>
      <c r="F392" s="50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2.75" customHeight="1">
      <c r="A393" s="48"/>
      <c r="B393" s="48"/>
      <c r="C393" s="49"/>
      <c r="D393" s="50"/>
      <c r="E393" s="50"/>
      <c r="F393" s="50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2.75" customHeight="1">
      <c r="A394" s="48"/>
      <c r="B394" s="48"/>
      <c r="C394" s="49"/>
      <c r="D394" s="50"/>
      <c r="E394" s="50"/>
      <c r="F394" s="50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2.75" customHeight="1">
      <c r="A395" s="48"/>
      <c r="B395" s="48"/>
      <c r="C395" s="49"/>
      <c r="D395" s="50"/>
      <c r="E395" s="50"/>
      <c r="F395" s="50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2.75" customHeight="1">
      <c r="A396" s="48"/>
      <c r="B396" s="48"/>
      <c r="C396" s="49"/>
      <c r="D396" s="50"/>
      <c r="E396" s="50"/>
      <c r="F396" s="50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2.75" customHeight="1">
      <c r="A397" s="48"/>
      <c r="B397" s="48"/>
      <c r="C397" s="49"/>
      <c r="D397" s="50"/>
      <c r="E397" s="50"/>
      <c r="F397" s="50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2.75" customHeight="1">
      <c r="A398" s="48"/>
      <c r="B398" s="48"/>
      <c r="C398" s="49"/>
      <c r="D398" s="50"/>
      <c r="E398" s="50"/>
      <c r="F398" s="50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2.75" customHeight="1">
      <c r="A399" s="48"/>
      <c r="B399" s="48"/>
      <c r="C399" s="49"/>
      <c r="D399" s="50"/>
      <c r="E399" s="50"/>
      <c r="F399" s="50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2.75" customHeight="1">
      <c r="A400" s="48"/>
      <c r="B400" s="48"/>
      <c r="C400" s="49"/>
      <c r="D400" s="50"/>
      <c r="E400" s="50"/>
      <c r="F400" s="50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2.75" customHeight="1">
      <c r="A401" s="48"/>
      <c r="B401" s="48"/>
      <c r="C401" s="49"/>
      <c r="D401" s="50"/>
      <c r="E401" s="50"/>
      <c r="F401" s="50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2.75" customHeight="1">
      <c r="A402" s="48"/>
      <c r="B402" s="48"/>
      <c r="C402" s="49"/>
      <c r="D402" s="50"/>
      <c r="E402" s="50"/>
      <c r="F402" s="50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2.75" customHeight="1">
      <c r="A403" s="48"/>
      <c r="B403" s="48"/>
      <c r="C403" s="49"/>
      <c r="D403" s="50"/>
      <c r="E403" s="50"/>
      <c r="F403" s="50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2.75" customHeight="1">
      <c r="A404" s="48"/>
      <c r="B404" s="48"/>
      <c r="C404" s="49"/>
      <c r="D404" s="50"/>
      <c r="E404" s="50"/>
      <c r="F404" s="50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2.75" customHeight="1">
      <c r="A405" s="48"/>
      <c r="B405" s="48"/>
      <c r="C405" s="49"/>
      <c r="D405" s="50"/>
      <c r="E405" s="50"/>
      <c r="F405" s="50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2.75" customHeight="1">
      <c r="A406" s="48"/>
      <c r="B406" s="48"/>
      <c r="C406" s="49"/>
      <c r="D406" s="50"/>
      <c r="E406" s="50"/>
      <c r="F406" s="50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2.75" customHeight="1">
      <c r="A407" s="48"/>
      <c r="B407" s="48"/>
      <c r="C407" s="49"/>
      <c r="D407" s="50"/>
      <c r="E407" s="50"/>
      <c r="F407" s="50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2.75" customHeight="1">
      <c r="A408" s="48"/>
      <c r="B408" s="48"/>
      <c r="C408" s="49"/>
      <c r="D408" s="50"/>
      <c r="E408" s="50"/>
      <c r="F408" s="50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2.75" customHeight="1">
      <c r="A409" s="48"/>
      <c r="B409" s="48"/>
      <c r="C409" s="49"/>
      <c r="D409" s="50"/>
      <c r="E409" s="50"/>
      <c r="F409" s="50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2.75" customHeight="1">
      <c r="A410" s="48"/>
      <c r="B410" s="48"/>
      <c r="C410" s="49"/>
      <c r="D410" s="50"/>
      <c r="E410" s="50"/>
      <c r="F410" s="50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2.75" customHeight="1">
      <c r="A411" s="48"/>
      <c r="B411" s="48"/>
      <c r="C411" s="49"/>
      <c r="D411" s="50"/>
      <c r="E411" s="50"/>
      <c r="F411" s="50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2.75" customHeight="1">
      <c r="A412" s="48"/>
      <c r="B412" s="48"/>
      <c r="C412" s="49"/>
      <c r="D412" s="50"/>
      <c r="E412" s="50"/>
      <c r="F412" s="50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2.75" customHeight="1">
      <c r="A413" s="48"/>
      <c r="B413" s="48"/>
      <c r="C413" s="49"/>
      <c r="D413" s="50"/>
      <c r="E413" s="50"/>
      <c r="F413" s="50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2.75" customHeight="1">
      <c r="A414" s="48"/>
      <c r="B414" s="48"/>
      <c r="C414" s="49"/>
      <c r="D414" s="50"/>
      <c r="E414" s="50"/>
      <c r="F414" s="50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2.75" customHeight="1">
      <c r="A415" s="48"/>
      <c r="B415" s="48"/>
      <c r="C415" s="49"/>
      <c r="D415" s="50"/>
      <c r="E415" s="50"/>
      <c r="F415" s="50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2.75" customHeight="1">
      <c r="A416" s="48"/>
      <c r="B416" s="48"/>
      <c r="C416" s="49"/>
      <c r="D416" s="50"/>
      <c r="E416" s="50"/>
      <c r="F416" s="50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2.75" customHeight="1">
      <c r="A417" s="48"/>
      <c r="B417" s="48"/>
      <c r="C417" s="49"/>
      <c r="D417" s="50"/>
      <c r="E417" s="50"/>
      <c r="F417" s="50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2.75" customHeight="1">
      <c r="A418" s="48"/>
      <c r="B418" s="48"/>
      <c r="C418" s="49"/>
      <c r="D418" s="50"/>
      <c r="E418" s="50"/>
      <c r="F418" s="50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2.75" customHeight="1">
      <c r="A419" s="48"/>
      <c r="B419" s="48"/>
      <c r="C419" s="49"/>
      <c r="D419" s="50"/>
      <c r="E419" s="50"/>
      <c r="F419" s="50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2.75" customHeight="1">
      <c r="A420" s="48"/>
      <c r="B420" s="48"/>
      <c r="C420" s="49"/>
      <c r="D420" s="50"/>
      <c r="E420" s="50"/>
      <c r="F420" s="50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2.75" customHeight="1">
      <c r="A421" s="48"/>
      <c r="B421" s="48"/>
      <c r="C421" s="49"/>
      <c r="D421" s="50"/>
      <c r="E421" s="50"/>
      <c r="F421" s="50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2.75" customHeight="1">
      <c r="A422" s="48"/>
      <c r="B422" s="48"/>
      <c r="C422" s="49"/>
      <c r="D422" s="50"/>
      <c r="E422" s="50"/>
      <c r="F422" s="50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2.75" customHeight="1">
      <c r="A423" s="48"/>
      <c r="B423" s="48"/>
      <c r="C423" s="49"/>
      <c r="D423" s="50"/>
      <c r="E423" s="50"/>
      <c r="F423" s="50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2.75" customHeight="1">
      <c r="A424" s="48"/>
      <c r="B424" s="48"/>
      <c r="C424" s="49"/>
      <c r="D424" s="50"/>
      <c r="E424" s="50"/>
      <c r="F424" s="50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2.75" customHeight="1">
      <c r="A425" s="48"/>
      <c r="B425" s="48"/>
      <c r="C425" s="49"/>
      <c r="D425" s="50"/>
      <c r="E425" s="50"/>
      <c r="F425" s="50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2.75" customHeight="1">
      <c r="A426" s="48"/>
      <c r="B426" s="48"/>
      <c r="C426" s="49"/>
      <c r="D426" s="50"/>
      <c r="E426" s="50"/>
      <c r="F426" s="50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2.75" customHeight="1">
      <c r="A427" s="48"/>
      <c r="B427" s="48"/>
      <c r="C427" s="49"/>
      <c r="D427" s="50"/>
      <c r="E427" s="50"/>
      <c r="F427" s="50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2.75" customHeight="1">
      <c r="A428" s="48"/>
      <c r="B428" s="48"/>
      <c r="C428" s="49"/>
      <c r="D428" s="50"/>
      <c r="E428" s="50"/>
      <c r="F428" s="50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2.75" customHeight="1">
      <c r="A429" s="48"/>
      <c r="B429" s="48"/>
      <c r="C429" s="49"/>
      <c r="D429" s="50"/>
      <c r="E429" s="50"/>
      <c r="F429" s="50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2.75" customHeight="1">
      <c r="A430" s="48"/>
      <c r="B430" s="48"/>
      <c r="C430" s="49"/>
      <c r="D430" s="50"/>
      <c r="E430" s="50"/>
      <c r="F430" s="50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2.75" customHeight="1">
      <c r="A431" s="48"/>
      <c r="B431" s="48"/>
      <c r="C431" s="49"/>
      <c r="D431" s="50"/>
      <c r="E431" s="50"/>
      <c r="F431" s="50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2.75" customHeight="1">
      <c r="A432" s="48"/>
      <c r="B432" s="48"/>
      <c r="C432" s="49"/>
      <c r="D432" s="50"/>
      <c r="E432" s="50"/>
      <c r="F432" s="50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2.75" customHeight="1">
      <c r="A433" s="48"/>
      <c r="B433" s="48"/>
      <c r="C433" s="49"/>
      <c r="D433" s="50"/>
      <c r="E433" s="50"/>
      <c r="F433" s="50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2.75" customHeight="1">
      <c r="A434" s="48"/>
      <c r="B434" s="48"/>
      <c r="C434" s="49"/>
      <c r="D434" s="50"/>
      <c r="E434" s="50"/>
      <c r="F434" s="50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2.75" customHeight="1">
      <c r="A435" s="48"/>
      <c r="B435" s="48"/>
      <c r="C435" s="49"/>
      <c r="D435" s="50"/>
      <c r="E435" s="50"/>
      <c r="F435" s="50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2.75" customHeight="1">
      <c r="A436" s="48"/>
      <c r="B436" s="48"/>
      <c r="C436" s="49"/>
      <c r="D436" s="50"/>
      <c r="E436" s="50"/>
      <c r="F436" s="50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2.75" customHeight="1">
      <c r="A437" s="48"/>
      <c r="B437" s="48"/>
      <c r="C437" s="49"/>
      <c r="D437" s="50"/>
      <c r="E437" s="50"/>
      <c r="F437" s="50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2.75" customHeight="1">
      <c r="A438" s="48"/>
      <c r="B438" s="48"/>
      <c r="C438" s="49"/>
      <c r="D438" s="50"/>
      <c r="E438" s="50"/>
      <c r="F438" s="50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2.75" customHeight="1">
      <c r="A439" s="48"/>
      <c r="B439" s="48"/>
      <c r="C439" s="49"/>
      <c r="D439" s="50"/>
      <c r="E439" s="50"/>
      <c r="F439" s="50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2.75" customHeight="1">
      <c r="A440" s="48"/>
      <c r="B440" s="48"/>
      <c r="C440" s="49"/>
      <c r="D440" s="50"/>
      <c r="E440" s="50"/>
      <c r="F440" s="50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2.75" customHeight="1">
      <c r="A441" s="48"/>
      <c r="B441" s="48"/>
      <c r="C441" s="49"/>
      <c r="D441" s="50"/>
      <c r="E441" s="50"/>
      <c r="F441" s="50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2.75" customHeight="1">
      <c r="A442" s="48"/>
      <c r="B442" s="48"/>
      <c r="C442" s="49"/>
      <c r="D442" s="50"/>
      <c r="E442" s="50"/>
      <c r="F442" s="50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2.75" customHeight="1">
      <c r="A443" s="48"/>
      <c r="B443" s="48"/>
      <c r="C443" s="49"/>
      <c r="D443" s="50"/>
      <c r="E443" s="50"/>
      <c r="F443" s="50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2.75" customHeight="1">
      <c r="A444" s="48"/>
      <c r="B444" s="48"/>
      <c r="C444" s="49"/>
      <c r="D444" s="50"/>
      <c r="E444" s="50"/>
      <c r="F444" s="50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2.75" customHeight="1">
      <c r="A445" s="48"/>
      <c r="B445" s="48"/>
      <c r="C445" s="49"/>
      <c r="D445" s="50"/>
      <c r="E445" s="50"/>
      <c r="F445" s="50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2.75" customHeight="1">
      <c r="A446" s="48"/>
      <c r="B446" s="48"/>
      <c r="C446" s="49"/>
      <c r="D446" s="50"/>
      <c r="E446" s="50"/>
      <c r="F446" s="50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2.75" customHeight="1">
      <c r="A447" s="48"/>
      <c r="B447" s="48"/>
      <c r="C447" s="49"/>
      <c r="D447" s="50"/>
      <c r="E447" s="50"/>
      <c r="F447" s="50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2.75" customHeight="1">
      <c r="A448" s="48"/>
      <c r="B448" s="48"/>
      <c r="C448" s="49"/>
      <c r="D448" s="50"/>
      <c r="E448" s="50"/>
      <c r="F448" s="50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2.75" customHeight="1">
      <c r="A449" s="48"/>
      <c r="B449" s="48"/>
      <c r="C449" s="49"/>
      <c r="D449" s="50"/>
      <c r="E449" s="50"/>
      <c r="F449" s="50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2.75" customHeight="1">
      <c r="A450" s="48"/>
      <c r="B450" s="48"/>
      <c r="C450" s="49"/>
      <c r="D450" s="50"/>
      <c r="E450" s="50"/>
      <c r="F450" s="50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2.75" customHeight="1">
      <c r="A451" s="48"/>
      <c r="B451" s="48"/>
      <c r="C451" s="49"/>
      <c r="D451" s="50"/>
      <c r="E451" s="50"/>
      <c r="F451" s="50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2.75" customHeight="1">
      <c r="A452" s="48"/>
      <c r="B452" s="48"/>
      <c r="C452" s="49"/>
      <c r="D452" s="50"/>
      <c r="E452" s="50"/>
      <c r="F452" s="50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2.75" customHeight="1">
      <c r="A453" s="48"/>
      <c r="B453" s="48"/>
      <c r="C453" s="49"/>
      <c r="D453" s="50"/>
      <c r="E453" s="50"/>
      <c r="F453" s="50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2.75" customHeight="1">
      <c r="A454" s="48"/>
      <c r="B454" s="48"/>
      <c r="C454" s="49"/>
      <c r="D454" s="50"/>
      <c r="E454" s="50"/>
      <c r="F454" s="50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2.75" customHeight="1">
      <c r="A455" s="48"/>
      <c r="B455" s="48"/>
      <c r="C455" s="49"/>
      <c r="D455" s="50"/>
      <c r="E455" s="50"/>
      <c r="F455" s="50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2.75" customHeight="1">
      <c r="A456" s="48"/>
      <c r="B456" s="48"/>
      <c r="C456" s="49"/>
      <c r="D456" s="50"/>
      <c r="E456" s="50"/>
      <c r="F456" s="50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2.75" customHeight="1">
      <c r="A457" s="48"/>
      <c r="B457" s="48"/>
      <c r="C457" s="49"/>
      <c r="D457" s="50"/>
      <c r="E457" s="50"/>
      <c r="F457" s="50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2.75" customHeight="1">
      <c r="A458" s="48"/>
      <c r="B458" s="48"/>
      <c r="C458" s="49"/>
      <c r="D458" s="50"/>
      <c r="E458" s="50"/>
      <c r="F458" s="50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2.75" customHeight="1">
      <c r="A459" s="48"/>
      <c r="B459" s="48"/>
      <c r="C459" s="49"/>
      <c r="D459" s="50"/>
      <c r="E459" s="50"/>
      <c r="F459" s="50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2.75" customHeight="1">
      <c r="A460" s="48"/>
      <c r="B460" s="48"/>
      <c r="C460" s="49"/>
      <c r="D460" s="50"/>
      <c r="E460" s="50"/>
      <c r="F460" s="50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2.75" customHeight="1">
      <c r="A461" s="48"/>
      <c r="B461" s="48"/>
      <c r="C461" s="49"/>
      <c r="D461" s="50"/>
      <c r="E461" s="50"/>
      <c r="F461" s="50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2.75" customHeight="1">
      <c r="A462" s="48"/>
      <c r="B462" s="48"/>
      <c r="C462" s="49"/>
      <c r="D462" s="50"/>
      <c r="E462" s="50"/>
      <c r="F462" s="50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2.75" customHeight="1">
      <c r="A463" s="48"/>
      <c r="B463" s="48"/>
      <c r="C463" s="49"/>
      <c r="D463" s="50"/>
      <c r="E463" s="50"/>
      <c r="F463" s="50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2.75" customHeight="1">
      <c r="A464" s="48"/>
      <c r="B464" s="48"/>
      <c r="C464" s="49"/>
      <c r="D464" s="50"/>
      <c r="E464" s="50"/>
      <c r="F464" s="50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2.75" customHeight="1">
      <c r="A465" s="48"/>
      <c r="B465" s="48"/>
      <c r="C465" s="49"/>
      <c r="D465" s="50"/>
      <c r="E465" s="50"/>
      <c r="F465" s="50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2.75" customHeight="1">
      <c r="A466" s="48"/>
      <c r="B466" s="48"/>
      <c r="C466" s="49"/>
      <c r="D466" s="50"/>
      <c r="E466" s="50"/>
      <c r="F466" s="50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2.75" customHeight="1">
      <c r="A467" s="48"/>
      <c r="B467" s="48"/>
      <c r="C467" s="49"/>
      <c r="D467" s="50"/>
      <c r="E467" s="50"/>
      <c r="F467" s="50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2.75" customHeight="1">
      <c r="A468" s="48"/>
      <c r="B468" s="48"/>
      <c r="C468" s="49"/>
      <c r="D468" s="50"/>
      <c r="E468" s="50"/>
      <c r="F468" s="50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2.75" customHeight="1">
      <c r="A469" s="48"/>
      <c r="B469" s="48"/>
      <c r="C469" s="49"/>
      <c r="D469" s="50"/>
      <c r="E469" s="50"/>
      <c r="F469" s="50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2.75" customHeight="1">
      <c r="A470" s="48"/>
      <c r="B470" s="48"/>
      <c r="C470" s="49"/>
      <c r="D470" s="50"/>
      <c r="E470" s="50"/>
      <c r="F470" s="50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2.75" customHeight="1">
      <c r="A471" s="48"/>
      <c r="B471" s="48"/>
      <c r="C471" s="49"/>
      <c r="D471" s="50"/>
      <c r="E471" s="50"/>
      <c r="F471" s="50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2.75" customHeight="1">
      <c r="A472" s="48"/>
      <c r="B472" s="48"/>
      <c r="C472" s="49"/>
      <c r="D472" s="50"/>
      <c r="E472" s="50"/>
      <c r="F472" s="50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2.75" customHeight="1">
      <c r="A473" s="48"/>
      <c r="B473" s="48"/>
      <c r="C473" s="49"/>
      <c r="D473" s="50"/>
      <c r="E473" s="50"/>
      <c r="F473" s="50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2.75" customHeight="1">
      <c r="A474" s="48"/>
      <c r="B474" s="48"/>
      <c r="C474" s="49"/>
      <c r="D474" s="50"/>
      <c r="E474" s="50"/>
      <c r="F474" s="50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2.75" customHeight="1">
      <c r="A475" s="48"/>
      <c r="B475" s="48"/>
      <c r="C475" s="49"/>
      <c r="D475" s="50"/>
      <c r="E475" s="50"/>
      <c r="F475" s="50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2.75" customHeight="1">
      <c r="A476" s="48"/>
      <c r="B476" s="48"/>
      <c r="C476" s="49"/>
      <c r="D476" s="50"/>
      <c r="E476" s="50"/>
      <c r="F476" s="50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2.75" customHeight="1">
      <c r="A477" s="48"/>
      <c r="B477" s="48"/>
      <c r="C477" s="49"/>
      <c r="D477" s="50"/>
      <c r="E477" s="50"/>
      <c r="F477" s="50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2.75" customHeight="1">
      <c r="A478" s="48"/>
      <c r="B478" s="48"/>
      <c r="C478" s="49"/>
      <c r="D478" s="50"/>
      <c r="E478" s="50"/>
      <c r="F478" s="50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2.75" customHeight="1">
      <c r="A479" s="48"/>
      <c r="B479" s="48"/>
      <c r="C479" s="49"/>
      <c r="D479" s="50"/>
      <c r="E479" s="50"/>
      <c r="F479" s="50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2.75" customHeight="1">
      <c r="A480" s="48"/>
      <c r="B480" s="48"/>
      <c r="C480" s="49"/>
      <c r="D480" s="50"/>
      <c r="E480" s="50"/>
      <c r="F480" s="50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2.75" customHeight="1">
      <c r="A481" s="48"/>
      <c r="B481" s="48"/>
      <c r="C481" s="49"/>
      <c r="D481" s="50"/>
      <c r="E481" s="50"/>
      <c r="F481" s="50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2.75" customHeight="1">
      <c r="A482" s="48"/>
      <c r="B482" s="48"/>
      <c r="C482" s="49"/>
      <c r="D482" s="50"/>
      <c r="E482" s="50"/>
      <c r="F482" s="50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2.75" customHeight="1">
      <c r="A483" s="48"/>
      <c r="B483" s="48"/>
      <c r="C483" s="49"/>
      <c r="D483" s="50"/>
      <c r="E483" s="50"/>
      <c r="F483" s="50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2.75" customHeight="1">
      <c r="A484" s="48"/>
      <c r="B484" s="48"/>
      <c r="C484" s="49"/>
      <c r="D484" s="50"/>
      <c r="E484" s="50"/>
      <c r="F484" s="50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2.75" customHeight="1">
      <c r="A485" s="48"/>
      <c r="B485" s="48"/>
      <c r="C485" s="49"/>
      <c r="D485" s="50"/>
      <c r="E485" s="50"/>
      <c r="F485" s="50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2.75" customHeight="1">
      <c r="A486" s="48"/>
      <c r="B486" s="48"/>
      <c r="C486" s="49"/>
      <c r="D486" s="50"/>
      <c r="E486" s="50"/>
      <c r="F486" s="50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2.75" customHeight="1">
      <c r="A487" s="48"/>
      <c r="B487" s="48"/>
      <c r="C487" s="49"/>
      <c r="D487" s="50"/>
      <c r="E487" s="50"/>
      <c r="F487" s="50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2.75" customHeight="1">
      <c r="A488" s="48"/>
      <c r="B488" s="48"/>
      <c r="C488" s="49"/>
      <c r="D488" s="50"/>
      <c r="E488" s="50"/>
      <c r="F488" s="50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2.75" customHeight="1">
      <c r="A489" s="48"/>
      <c r="B489" s="48"/>
      <c r="C489" s="49"/>
      <c r="D489" s="50"/>
      <c r="E489" s="50"/>
      <c r="F489" s="50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2.75" customHeight="1">
      <c r="A490" s="48"/>
      <c r="B490" s="48"/>
      <c r="C490" s="49"/>
      <c r="D490" s="50"/>
      <c r="E490" s="50"/>
      <c r="F490" s="50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2.75" customHeight="1">
      <c r="A491" s="48"/>
      <c r="B491" s="48"/>
      <c r="C491" s="49"/>
      <c r="D491" s="50"/>
      <c r="E491" s="50"/>
      <c r="F491" s="50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2.75" customHeight="1">
      <c r="A492" s="48"/>
      <c r="B492" s="48"/>
      <c r="C492" s="49"/>
      <c r="D492" s="50"/>
      <c r="E492" s="50"/>
      <c r="F492" s="50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2.75" customHeight="1">
      <c r="A493" s="48"/>
      <c r="B493" s="48"/>
      <c r="C493" s="49"/>
      <c r="D493" s="50"/>
      <c r="E493" s="50"/>
      <c r="F493" s="50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2.75" customHeight="1">
      <c r="A494" s="48"/>
      <c r="B494" s="48"/>
      <c r="C494" s="49"/>
      <c r="D494" s="50"/>
      <c r="E494" s="50"/>
      <c r="F494" s="50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2.75" customHeight="1">
      <c r="A495" s="48"/>
      <c r="B495" s="48"/>
      <c r="C495" s="49"/>
      <c r="D495" s="50"/>
      <c r="E495" s="50"/>
      <c r="F495" s="50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2.75" customHeight="1">
      <c r="A496" s="48"/>
      <c r="B496" s="48"/>
      <c r="C496" s="49"/>
      <c r="D496" s="50"/>
      <c r="E496" s="50"/>
      <c r="F496" s="50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2.75" customHeight="1">
      <c r="A497" s="48"/>
      <c r="B497" s="48"/>
      <c r="C497" s="49"/>
      <c r="D497" s="50"/>
      <c r="E497" s="50"/>
      <c r="F497" s="50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2.75" customHeight="1">
      <c r="A498" s="48"/>
      <c r="B498" s="48"/>
      <c r="C498" s="49"/>
      <c r="D498" s="50"/>
      <c r="E498" s="50"/>
      <c r="F498" s="50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2.75" customHeight="1">
      <c r="A499" s="48"/>
      <c r="B499" s="48"/>
      <c r="C499" s="49"/>
      <c r="D499" s="50"/>
      <c r="E499" s="50"/>
      <c r="F499" s="50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2.75" customHeight="1">
      <c r="A500" s="48"/>
      <c r="B500" s="48"/>
      <c r="C500" s="49"/>
      <c r="D500" s="50"/>
      <c r="E500" s="50"/>
      <c r="F500" s="50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2.75" customHeight="1">
      <c r="A501" s="48"/>
      <c r="B501" s="48"/>
      <c r="C501" s="49"/>
      <c r="D501" s="50"/>
      <c r="E501" s="50"/>
      <c r="F501" s="50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2.75" customHeight="1">
      <c r="A502" s="48"/>
      <c r="B502" s="48"/>
      <c r="C502" s="49"/>
      <c r="D502" s="50"/>
      <c r="E502" s="50"/>
      <c r="F502" s="50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2.75" customHeight="1">
      <c r="A503" s="48"/>
      <c r="B503" s="48"/>
      <c r="C503" s="49"/>
      <c r="D503" s="50"/>
      <c r="E503" s="50"/>
      <c r="F503" s="50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2.75" customHeight="1">
      <c r="A504" s="48"/>
      <c r="B504" s="48"/>
      <c r="C504" s="49"/>
      <c r="D504" s="50"/>
      <c r="E504" s="50"/>
      <c r="F504" s="50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2.75" customHeight="1">
      <c r="A505" s="48"/>
      <c r="B505" s="48"/>
      <c r="C505" s="49"/>
      <c r="D505" s="50"/>
      <c r="E505" s="50"/>
      <c r="F505" s="50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2.75" customHeight="1">
      <c r="A506" s="48"/>
      <c r="B506" s="48"/>
      <c r="C506" s="49"/>
      <c r="D506" s="50"/>
      <c r="E506" s="50"/>
      <c r="F506" s="50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2.75" customHeight="1">
      <c r="A507" s="48"/>
      <c r="B507" s="48"/>
      <c r="C507" s="49"/>
      <c r="D507" s="50"/>
      <c r="E507" s="50"/>
      <c r="F507" s="50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2.75" customHeight="1">
      <c r="A508" s="48"/>
      <c r="B508" s="48"/>
      <c r="C508" s="49"/>
      <c r="D508" s="50"/>
      <c r="E508" s="50"/>
      <c r="F508" s="50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2.75" customHeight="1">
      <c r="A509" s="48"/>
      <c r="B509" s="48"/>
      <c r="C509" s="49"/>
      <c r="D509" s="50"/>
      <c r="E509" s="50"/>
      <c r="F509" s="50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2.75" customHeight="1">
      <c r="A510" s="48"/>
      <c r="B510" s="48"/>
      <c r="C510" s="49"/>
      <c r="D510" s="50"/>
      <c r="E510" s="50"/>
      <c r="F510" s="50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2.75" customHeight="1">
      <c r="A511" s="48"/>
      <c r="B511" s="48"/>
      <c r="C511" s="49"/>
      <c r="D511" s="50"/>
      <c r="E511" s="50"/>
      <c r="F511" s="50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2.75" customHeight="1">
      <c r="A512" s="48"/>
      <c r="B512" s="48"/>
      <c r="C512" s="49"/>
      <c r="D512" s="50"/>
      <c r="E512" s="50"/>
      <c r="F512" s="50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2.75" customHeight="1">
      <c r="A513" s="48"/>
      <c r="B513" s="48"/>
      <c r="C513" s="49"/>
      <c r="D513" s="50"/>
      <c r="E513" s="50"/>
      <c r="F513" s="50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2.75" customHeight="1">
      <c r="A514" s="48"/>
      <c r="B514" s="48"/>
      <c r="C514" s="49"/>
      <c r="D514" s="50"/>
      <c r="E514" s="50"/>
      <c r="F514" s="50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2.75" customHeight="1">
      <c r="A515" s="48"/>
      <c r="B515" s="48"/>
      <c r="C515" s="49"/>
      <c r="D515" s="50"/>
      <c r="E515" s="50"/>
      <c r="F515" s="50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2.75" customHeight="1">
      <c r="A516" s="48"/>
      <c r="B516" s="48"/>
      <c r="C516" s="49"/>
      <c r="D516" s="50"/>
      <c r="E516" s="50"/>
      <c r="F516" s="50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2.75" customHeight="1">
      <c r="A517" s="48"/>
      <c r="B517" s="48"/>
      <c r="C517" s="49"/>
      <c r="D517" s="50"/>
      <c r="E517" s="50"/>
      <c r="F517" s="50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2.75" customHeight="1">
      <c r="A518" s="48"/>
      <c r="B518" s="48"/>
      <c r="C518" s="49"/>
      <c r="D518" s="50"/>
      <c r="E518" s="50"/>
      <c r="F518" s="50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2.75" customHeight="1">
      <c r="A519" s="48"/>
      <c r="B519" s="48"/>
      <c r="C519" s="49"/>
      <c r="D519" s="50"/>
      <c r="E519" s="50"/>
      <c r="F519" s="50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2.75" customHeight="1">
      <c r="A520" s="48"/>
      <c r="B520" s="48"/>
      <c r="C520" s="49"/>
      <c r="D520" s="50"/>
      <c r="E520" s="50"/>
      <c r="F520" s="50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2.75" customHeight="1">
      <c r="A521" s="48"/>
      <c r="B521" s="48"/>
      <c r="C521" s="49"/>
      <c r="D521" s="50"/>
      <c r="E521" s="50"/>
      <c r="F521" s="50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2.75" customHeight="1">
      <c r="A522" s="48"/>
      <c r="B522" s="48"/>
      <c r="C522" s="49"/>
      <c r="D522" s="50"/>
      <c r="E522" s="50"/>
      <c r="F522" s="50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2.75" customHeight="1">
      <c r="A523" s="48"/>
      <c r="B523" s="48"/>
      <c r="C523" s="49"/>
      <c r="D523" s="50"/>
      <c r="E523" s="50"/>
      <c r="F523" s="50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2.75" customHeight="1">
      <c r="A524" s="48"/>
      <c r="B524" s="48"/>
      <c r="C524" s="49"/>
      <c r="D524" s="50"/>
      <c r="E524" s="50"/>
      <c r="F524" s="50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2.75" customHeight="1">
      <c r="A525" s="48"/>
      <c r="B525" s="48"/>
      <c r="C525" s="49"/>
      <c r="D525" s="50"/>
      <c r="E525" s="50"/>
      <c r="F525" s="50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2.75" customHeight="1">
      <c r="A526" s="48"/>
      <c r="B526" s="48"/>
      <c r="C526" s="49"/>
      <c r="D526" s="50"/>
      <c r="E526" s="50"/>
      <c r="F526" s="50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2.75" customHeight="1">
      <c r="A527" s="48"/>
      <c r="B527" s="48"/>
      <c r="C527" s="49"/>
      <c r="D527" s="50"/>
      <c r="E527" s="50"/>
      <c r="F527" s="50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2.75" customHeight="1">
      <c r="A528" s="48"/>
      <c r="B528" s="48"/>
      <c r="C528" s="49"/>
      <c r="D528" s="50"/>
      <c r="E528" s="50"/>
      <c r="F528" s="50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2.75" customHeight="1">
      <c r="A529" s="48"/>
      <c r="B529" s="48"/>
      <c r="C529" s="49"/>
      <c r="D529" s="50"/>
      <c r="E529" s="50"/>
      <c r="F529" s="50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2.75" customHeight="1">
      <c r="A530" s="48"/>
      <c r="B530" s="48"/>
      <c r="C530" s="49"/>
      <c r="D530" s="50"/>
      <c r="E530" s="50"/>
      <c r="F530" s="50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2.75" customHeight="1">
      <c r="A531" s="48"/>
      <c r="B531" s="48"/>
      <c r="C531" s="49"/>
      <c r="D531" s="50"/>
      <c r="E531" s="50"/>
      <c r="F531" s="50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2.75" customHeight="1">
      <c r="A532" s="48"/>
      <c r="B532" s="48"/>
      <c r="C532" s="49"/>
      <c r="D532" s="50"/>
      <c r="E532" s="50"/>
      <c r="F532" s="50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2.75" customHeight="1">
      <c r="A533" s="48"/>
      <c r="B533" s="48"/>
      <c r="C533" s="49"/>
      <c r="D533" s="50"/>
      <c r="E533" s="50"/>
      <c r="F533" s="50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2.75" customHeight="1">
      <c r="A534" s="48"/>
      <c r="B534" s="48"/>
      <c r="C534" s="49"/>
      <c r="D534" s="50"/>
      <c r="E534" s="50"/>
      <c r="F534" s="50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2.75" customHeight="1">
      <c r="A535" s="48"/>
      <c r="B535" s="48"/>
      <c r="C535" s="49"/>
      <c r="D535" s="50"/>
      <c r="E535" s="50"/>
      <c r="F535" s="50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2.75" customHeight="1">
      <c r="A536" s="48"/>
      <c r="B536" s="48"/>
      <c r="C536" s="49"/>
      <c r="D536" s="50"/>
      <c r="E536" s="50"/>
      <c r="F536" s="50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2.75" customHeight="1">
      <c r="A537" s="48"/>
      <c r="B537" s="48"/>
      <c r="C537" s="49"/>
      <c r="D537" s="50"/>
      <c r="E537" s="50"/>
      <c r="F537" s="50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2.75" customHeight="1">
      <c r="A538" s="48"/>
      <c r="B538" s="48"/>
      <c r="C538" s="49"/>
      <c r="D538" s="50"/>
      <c r="E538" s="50"/>
      <c r="F538" s="50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2.75" customHeight="1">
      <c r="A539" s="48"/>
      <c r="B539" s="48"/>
      <c r="C539" s="49"/>
      <c r="D539" s="50"/>
      <c r="E539" s="50"/>
      <c r="F539" s="50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2.75" customHeight="1">
      <c r="A540" s="48"/>
      <c r="B540" s="48"/>
      <c r="C540" s="49"/>
      <c r="D540" s="50"/>
      <c r="E540" s="50"/>
      <c r="F540" s="50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2.75" customHeight="1">
      <c r="A541" s="48"/>
      <c r="B541" s="48"/>
      <c r="C541" s="49"/>
      <c r="D541" s="50"/>
      <c r="E541" s="50"/>
      <c r="F541" s="50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2.75" customHeight="1">
      <c r="A542" s="48"/>
      <c r="B542" s="48"/>
      <c r="C542" s="49"/>
      <c r="D542" s="50"/>
      <c r="E542" s="50"/>
      <c r="F542" s="50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2.75" customHeight="1">
      <c r="A543" s="48"/>
      <c r="B543" s="48"/>
      <c r="C543" s="49"/>
      <c r="D543" s="50"/>
      <c r="E543" s="50"/>
      <c r="F543" s="50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2.75" customHeight="1">
      <c r="A544" s="48"/>
      <c r="B544" s="48"/>
      <c r="C544" s="49"/>
      <c r="D544" s="50"/>
      <c r="E544" s="50"/>
      <c r="F544" s="50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2.75" customHeight="1">
      <c r="A545" s="48"/>
      <c r="B545" s="48"/>
      <c r="C545" s="49"/>
      <c r="D545" s="50"/>
      <c r="E545" s="50"/>
      <c r="F545" s="50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2.75" customHeight="1">
      <c r="A546" s="48"/>
      <c r="B546" s="48"/>
      <c r="C546" s="49"/>
      <c r="D546" s="50"/>
      <c r="E546" s="50"/>
      <c r="F546" s="50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2.75" customHeight="1">
      <c r="A547" s="48"/>
      <c r="B547" s="48"/>
      <c r="C547" s="49"/>
      <c r="D547" s="50"/>
      <c r="E547" s="50"/>
      <c r="F547" s="50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2.75" customHeight="1">
      <c r="A548" s="48"/>
      <c r="B548" s="48"/>
      <c r="C548" s="49"/>
      <c r="D548" s="50"/>
      <c r="E548" s="50"/>
      <c r="F548" s="50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2.75" customHeight="1">
      <c r="A549" s="48"/>
      <c r="B549" s="48"/>
      <c r="C549" s="49"/>
      <c r="D549" s="50"/>
      <c r="E549" s="50"/>
      <c r="F549" s="50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2.75" customHeight="1">
      <c r="A550" s="48"/>
      <c r="B550" s="48"/>
      <c r="C550" s="49"/>
      <c r="D550" s="50"/>
      <c r="E550" s="50"/>
      <c r="F550" s="50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2.75" customHeight="1">
      <c r="A551" s="48"/>
      <c r="B551" s="48"/>
      <c r="C551" s="49"/>
      <c r="D551" s="50"/>
      <c r="E551" s="50"/>
      <c r="F551" s="50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2.75" customHeight="1">
      <c r="A552" s="48"/>
      <c r="B552" s="48"/>
      <c r="C552" s="49"/>
      <c r="D552" s="50"/>
      <c r="E552" s="50"/>
      <c r="F552" s="50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2.75" customHeight="1">
      <c r="A553" s="48"/>
      <c r="B553" s="48"/>
      <c r="C553" s="49"/>
      <c r="D553" s="50"/>
      <c r="E553" s="50"/>
      <c r="F553" s="50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2.75" customHeight="1">
      <c r="A554" s="48"/>
      <c r="B554" s="48"/>
      <c r="C554" s="49"/>
      <c r="D554" s="50"/>
      <c r="E554" s="50"/>
      <c r="F554" s="50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2.75" customHeight="1">
      <c r="A555" s="48"/>
      <c r="B555" s="48"/>
      <c r="C555" s="49"/>
      <c r="D555" s="50"/>
      <c r="E555" s="50"/>
      <c r="F555" s="50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2.75" customHeight="1">
      <c r="A556" s="48"/>
      <c r="B556" s="48"/>
      <c r="C556" s="49"/>
      <c r="D556" s="50"/>
      <c r="E556" s="50"/>
      <c r="F556" s="50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2.75" customHeight="1">
      <c r="A557" s="48"/>
      <c r="B557" s="48"/>
      <c r="C557" s="49"/>
      <c r="D557" s="50"/>
      <c r="E557" s="50"/>
      <c r="F557" s="50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2.75" customHeight="1">
      <c r="A558" s="48"/>
      <c r="B558" s="48"/>
      <c r="C558" s="49"/>
      <c r="D558" s="50"/>
      <c r="E558" s="50"/>
      <c r="F558" s="50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2.75" customHeight="1">
      <c r="A559" s="48"/>
      <c r="B559" s="48"/>
      <c r="C559" s="49"/>
      <c r="D559" s="50"/>
      <c r="E559" s="50"/>
      <c r="F559" s="50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2.75" customHeight="1">
      <c r="A560" s="48"/>
      <c r="B560" s="48"/>
      <c r="C560" s="49"/>
      <c r="D560" s="50"/>
      <c r="E560" s="50"/>
      <c r="F560" s="50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2.75" customHeight="1">
      <c r="A561" s="48"/>
      <c r="B561" s="48"/>
      <c r="C561" s="49"/>
      <c r="D561" s="50"/>
      <c r="E561" s="50"/>
      <c r="F561" s="50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2.75" customHeight="1">
      <c r="A562" s="48"/>
      <c r="B562" s="48"/>
      <c r="C562" s="49"/>
      <c r="D562" s="50"/>
      <c r="E562" s="50"/>
      <c r="F562" s="50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2.75" customHeight="1">
      <c r="A563" s="48"/>
      <c r="B563" s="48"/>
      <c r="C563" s="49"/>
      <c r="D563" s="50"/>
      <c r="E563" s="50"/>
      <c r="F563" s="50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2.75" customHeight="1">
      <c r="A564" s="48"/>
      <c r="B564" s="48"/>
      <c r="C564" s="49"/>
      <c r="D564" s="50"/>
      <c r="E564" s="50"/>
      <c r="F564" s="50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2.75" customHeight="1">
      <c r="A565" s="48"/>
      <c r="B565" s="48"/>
      <c r="C565" s="49"/>
      <c r="D565" s="50"/>
      <c r="E565" s="50"/>
      <c r="F565" s="50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2.75" customHeight="1">
      <c r="A566" s="48"/>
      <c r="B566" s="48"/>
      <c r="C566" s="49"/>
      <c r="D566" s="50"/>
      <c r="E566" s="50"/>
      <c r="F566" s="50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2.75" customHeight="1">
      <c r="A567" s="48"/>
      <c r="B567" s="48"/>
      <c r="C567" s="49"/>
      <c r="D567" s="50"/>
      <c r="E567" s="50"/>
      <c r="F567" s="50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2.75" customHeight="1">
      <c r="A568" s="48"/>
      <c r="B568" s="48"/>
      <c r="C568" s="49"/>
      <c r="D568" s="50"/>
      <c r="E568" s="50"/>
      <c r="F568" s="50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2.75" customHeight="1">
      <c r="A569" s="48"/>
      <c r="B569" s="48"/>
      <c r="C569" s="49"/>
      <c r="D569" s="50"/>
      <c r="E569" s="50"/>
      <c r="F569" s="50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2.75" customHeight="1">
      <c r="A570" s="48"/>
      <c r="B570" s="48"/>
      <c r="C570" s="49"/>
      <c r="D570" s="50"/>
      <c r="E570" s="50"/>
      <c r="F570" s="50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2.75" customHeight="1">
      <c r="A571" s="48"/>
      <c r="B571" s="48"/>
      <c r="C571" s="49"/>
      <c r="D571" s="50"/>
      <c r="E571" s="50"/>
      <c r="F571" s="50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2.75" customHeight="1">
      <c r="A572" s="48"/>
      <c r="B572" s="48"/>
      <c r="C572" s="49"/>
      <c r="D572" s="50"/>
      <c r="E572" s="50"/>
      <c r="F572" s="50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2.75" customHeight="1">
      <c r="A573" s="48"/>
      <c r="B573" s="48"/>
      <c r="C573" s="49"/>
      <c r="D573" s="50"/>
      <c r="E573" s="50"/>
      <c r="F573" s="50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2.75" customHeight="1">
      <c r="A574" s="48"/>
      <c r="B574" s="48"/>
      <c r="C574" s="49"/>
      <c r="D574" s="50"/>
      <c r="E574" s="50"/>
      <c r="F574" s="50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2.75" customHeight="1">
      <c r="A575" s="48"/>
      <c r="B575" s="48"/>
      <c r="C575" s="49"/>
      <c r="D575" s="50"/>
      <c r="E575" s="50"/>
      <c r="F575" s="50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2.75" customHeight="1">
      <c r="A576" s="48"/>
      <c r="B576" s="48"/>
      <c r="C576" s="49"/>
      <c r="D576" s="50"/>
      <c r="E576" s="50"/>
      <c r="F576" s="50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2.75" customHeight="1">
      <c r="A577" s="48"/>
      <c r="B577" s="48"/>
      <c r="C577" s="49"/>
      <c r="D577" s="50"/>
      <c r="E577" s="50"/>
      <c r="F577" s="50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2.75" customHeight="1">
      <c r="A578" s="48"/>
      <c r="B578" s="48"/>
      <c r="C578" s="49"/>
      <c r="D578" s="50"/>
      <c r="E578" s="50"/>
      <c r="F578" s="50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2.75" customHeight="1">
      <c r="A579" s="48"/>
      <c r="B579" s="48"/>
      <c r="C579" s="49"/>
      <c r="D579" s="50"/>
      <c r="E579" s="50"/>
      <c r="F579" s="50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2.75" customHeight="1">
      <c r="A580" s="48"/>
      <c r="B580" s="48"/>
      <c r="C580" s="49"/>
      <c r="D580" s="50"/>
      <c r="E580" s="50"/>
      <c r="F580" s="50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2.75" customHeight="1">
      <c r="A581" s="48"/>
      <c r="B581" s="48"/>
      <c r="C581" s="49"/>
      <c r="D581" s="50"/>
      <c r="E581" s="50"/>
      <c r="F581" s="50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2.75" customHeight="1">
      <c r="A582" s="48"/>
      <c r="B582" s="48"/>
      <c r="C582" s="49"/>
      <c r="D582" s="50"/>
      <c r="E582" s="50"/>
      <c r="F582" s="50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2.75" customHeight="1">
      <c r="A583" s="48"/>
      <c r="B583" s="48"/>
      <c r="C583" s="49"/>
      <c r="D583" s="50"/>
      <c r="E583" s="50"/>
      <c r="F583" s="50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2.75" customHeight="1">
      <c r="A584" s="48"/>
      <c r="B584" s="48"/>
      <c r="C584" s="49"/>
      <c r="D584" s="50"/>
      <c r="E584" s="50"/>
      <c r="F584" s="50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2.75" customHeight="1">
      <c r="A585" s="48"/>
      <c r="B585" s="48"/>
      <c r="C585" s="49"/>
      <c r="D585" s="50"/>
      <c r="E585" s="50"/>
      <c r="F585" s="50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2.75" customHeight="1">
      <c r="A586" s="48"/>
      <c r="B586" s="48"/>
      <c r="C586" s="49"/>
      <c r="D586" s="50"/>
      <c r="E586" s="50"/>
      <c r="F586" s="50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2.75" customHeight="1">
      <c r="A587" s="48"/>
      <c r="B587" s="48"/>
      <c r="C587" s="49"/>
      <c r="D587" s="50"/>
      <c r="E587" s="50"/>
      <c r="F587" s="50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2.75" customHeight="1">
      <c r="A588" s="48"/>
      <c r="B588" s="48"/>
      <c r="C588" s="49"/>
      <c r="D588" s="50"/>
      <c r="E588" s="50"/>
      <c r="F588" s="50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2.75" customHeight="1">
      <c r="A589" s="48"/>
      <c r="B589" s="48"/>
      <c r="C589" s="49"/>
      <c r="D589" s="50"/>
      <c r="E589" s="50"/>
      <c r="F589" s="50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2.75" customHeight="1">
      <c r="A590" s="48"/>
      <c r="B590" s="48"/>
      <c r="C590" s="49"/>
      <c r="D590" s="50"/>
      <c r="E590" s="50"/>
      <c r="F590" s="50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2.75" customHeight="1">
      <c r="A591" s="48"/>
      <c r="B591" s="48"/>
      <c r="C591" s="49"/>
      <c r="D591" s="50"/>
      <c r="E591" s="50"/>
      <c r="F591" s="50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2.75" customHeight="1">
      <c r="A592" s="48"/>
      <c r="B592" s="48"/>
      <c r="C592" s="49"/>
      <c r="D592" s="50"/>
      <c r="E592" s="50"/>
      <c r="F592" s="50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2.75" customHeight="1">
      <c r="A593" s="48"/>
      <c r="B593" s="48"/>
      <c r="C593" s="49"/>
      <c r="D593" s="50"/>
      <c r="E593" s="50"/>
      <c r="F593" s="50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2.75" customHeight="1">
      <c r="A594" s="48"/>
      <c r="B594" s="48"/>
      <c r="C594" s="49"/>
      <c r="D594" s="50"/>
      <c r="E594" s="50"/>
      <c r="F594" s="50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2.75" customHeight="1">
      <c r="A595" s="48"/>
      <c r="B595" s="48"/>
      <c r="C595" s="49"/>
      <c r="D595" s="50"/>
      <c r="E595" s="50"/>
      <c r="F595" s="50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2.75" customHeight="1">
      <c r="A596" s="48"/>
      <c r="B596" s="48"/>
      <c r="C596" s="49"/>
      <c r="D596" s="50"/>
      <c r="E596" s="50"/>
      <c r="F596" s="50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2.75" customHeight="1">
      <c r="A597" s="48"/>
      <c r="B597" s="48"/>
      <c r="C597" s="49"/>
      <c r="D597" s="50"/>
      <c r="E597" s="50"/>
      <c r="F597" s="50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2.75" customHeight="1">
      <c r="A598" s="48"/>
      <c r="B598" s="48"/>
      <c r="C598" s="49"/>
      <c r="D598" s="50"/>
      <c r="E598" s="50"/>
      <c r="F598" s="50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2.75" customHeight="1">
      <c r="A599" s="48"/>
      <c r="B599" s="48"/>
      <c r="C599" s="49"/>
      <c r="D599" s="50"/>
      <c r="E599" s="50"/>
      <c r="F599" s="50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2.75" customHeight="1">
      <c r="A600" s="48"/>
      <c r="B600" s="48"/>
      <c r="C600" s="49"/>
      <c r="D600" s="50"/>
      <c r="E600" s="50"/>
      <c r="F600" s="50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2.75" customHeight="1">
      <c r="A601" s="48"/>
      <c r="B601" s="48"/>
      <c r="C601" s="49"/>
      <c r="D601" s="50"/>
      <c r="E601" s="50"/>
      <c r="F601" s="50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2.75" customHeight="1">
      <c r="A602" s="48"/>
      <c r="B602" s="48"/>
      <c r="C602" s="49"/>
      <c r="D602" s="50"/>
      <c r="E602" s="50"/>
      <c r="F602" s="50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2.75" customHeight="1">
      <c r="A603" s="48"/>
      <c r="B603" s="48"/>
      <c r="C603" s="49"/>
      <c r="D603" s="50"/>
      <c r="E603" s="50"/>
      <c r="F603" s="50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2.75" customHeight="1">
      <c r="A604" s="48"/>
      <c r="B604" s="48"/>
      <c r="C604" s="49"/>
      <c r="D604" s="50"/>
      <c r="E604" s="50"/>
      <c r="F604" s="50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2.75" customHeight="1">
      <c r="A605" s="48"/>
      <c r="B605" s="48"/>
      <c r="C605" s="49"/>
      <c r="D605" s="50"/>
      <c r="E605" s="50"/>
      <c r="F605" s="50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2.75" customHeight="1">
      <c r="A606" s="48"/>
      <c r="B606" s="48"/>
      <c r="C606" s="49"/>
      <c r="D606" s="50"/>
      <c r="E606" s="50"/>
      <c r="F606" s="50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2.75" customHeight="1">
      <c r="A607" s="48"/>
      <c r="B607" s="48"/>
      <c r="C607" s="49"/>
      <c r="D607" s="50"/>
      <c r="E607" s="50"/>
      <c r="F607" s="50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2.75" customHeight="1">
      <c r="A608" s="48"/>
      <c r="B608" s="48"/>
      <c r="C608" s="49"/>
      <c r="D608" s="50"/>
      <c r="E608" s="50"/>
      <c r="F608" s="50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2.75" customHeight="1">
      <c r="A609" s="48"/>
      <c r="B609" s="48"/>
      <c r="C609" s="49"/>
      <c r="D609" s="50"/>
      <c r="E609" s="50"/>
      <c r="F609" s="50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2.75" customHeight="1">
      <c r="A610" s="48"/>
      <c r="B610" s="48"/>
      <c r="C610" s="49"/>
      <c r="D610" s="50"/>
      <c r="E610" s="50"/>
      <c r="F610" s="50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2.75" customHeight="1">
      <c r="A611" s="48"/>
      <c r="B611" s="48"/>
      <c r="C611" s="49"/>
      <c r="D611" s="50"/>
      <c r="E611" s="50"/>
      <c r="F611" s="50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2.75" customHeight="1">
      <c r="A612" s="48"/>
      <c r="B612" s="48"/>
      <c r="C612" s="49"/>
      <c r="D612" s="50"/>
      <c r="E612" s="50"/>
      <c r="F612" s="50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2.75" customHeight="1">
      <c r="A613" s="48"/>
      <c r="B613" s="48"/>
      <c r="C613" s="49"/>
      <c r="D613" s="50"/>
      <c r="E613" s="50"/>
      <c r="F613" s="50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2.75" customHeight="1">
      <c r="A614" s="48"/>
      <c r="B614" s="48"/>
      <c r="C614" s="49"/>
      <c r="D614" s="50"/>
      <c r="E614" s="50"/>
      <c r="F614" s="50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2.75" customHeight="1">
      <c r="A615" s="48"/>
      <c r="B615" s="48"/>
      <c r="C615" s="49"/>
      <c r="D615" s="50"/>
      <c r="E615" s="50"/>
      <c r="F615" s="50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2.75" customHeight="1">
      <c r="A616" s="48"/>
      <c r="B616" s="48"/>
      <c r="C616" s="49"/>
      <c r="D616" s="50"/>
      <c r="E616" s="50"/>
      <c r="F616" s="50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2.75" customHeight="1">
      <c r="A617" s="48"/>
      <c r="B617" s="48"/>
      <c r="C617" s="49"/>
      <c r="D617" s="50"/>
      <c r="E617" s="50"/>
      <c r="F617" s="50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2.75" customHeight="1">
      <c r="A618" s="48"/>
      <c r="B618" s="48"/>
      <c r="C618" s="49"/>
      <c r="D618" s="50"/>
      <c r="E618" s="50"/>
      <c r="F618" s="50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2.75" customHeight="1">
      <c r="A619" s="48"/>
      <c r="B619" s="48"/>
      <c r="C619" s="49"/>
      <c r="D619" s="50"/>
      <c r="E619" s="50"/>
      <c r="F619" s="50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2.75" customHeight="1">
      <c r="A620" s="48"/>
      <c r="B620" s="48"/>
      <c r="C620" s="49"/>
      <c r="D620" s="50"/>
      <c r="E620" s="50"/>
      <c r="F620" s="50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2.75" customHeight="1">
      <c r="A621" s="48"/>
      <c r="B621" s="48"/>
      <c r="C621" s="49"/>
      <c r="D621" s="50"/>
      <c r="E621" s="50"/>
      <c r="F621" s="50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2.75" customHeight="1">
      <c r="A622" s="48"/>
      <c r="B622" s="48"/>
      <c r="C622" s="49"/>
      <c r="D622" s="50"/>
      <c r="E622" s="50"/>
      <c r="F622" s="50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2.75" customHeight="1">
      <c r="A623" s="48"/>
      <c r="B623" s="48"/>
      <c r="C623" s="49"/>
      <c r="D623" s="50"/>
      <c r="E623" s="50"/>
      <c r="F623" s="50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2.75" customHeight="1">
      <c r="A624" s="48"/>
      <c r="B624" s="48"/>
      <c r="C624" s="49"/>
      <c r="D624" s="50"/>
      <c r="E624" s="50"/>
      <c r="F624" s="50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2.75" customHeight="1">
      <c r="A625" s="48"/>
      <c r="B625" s="48"/>
      <c r="C625" s="49"/>
      <c r="D625" s="50"/>
      <c r="E625" s="50"/>
      <c r="F625" s="50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2.75" customHeight="1">
      <c r="A626" s="48"/>
      <c r="B626" s="48"/>
      <c r="C626" s="49"/>
      <c r="D626" s="50"/>
      <c r="E626" s="50"/>
      <c r="F626" s="50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2.75" customHeight="1">
      <c r="A627" s="48"/>
      <c r="B627" s="48"/>
      <c r="C627" s="49"/>
      <c r="D627" s="50"/>
      <c r="E627" s="50"/>
      <c r="F627" s="50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2.75" customHeight="1">
      <c r="A628" s="48"/>
      <c r="B628" s="48"/>
      <c r="C628" s="49"/>
      <c r="D628" s="50"/>
      <c r="E628" s="50"/>
      <c r="F628" s="50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2.75" customHeight="1">
      <c r="A629" s="48"/>
      <c r="B629" s="48"/>
      <c r="C629" s="49"/>
      <c r="D629" s="50"/>
      <c r="E629" s="50"/>
      <c r="F629" s="50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2.75" customHeight="1">
      <c r="A630" s="48"/>
      <c r="B630" s="48"/>
      <c r="C630" s="49"/>
      <c r="D630" s="50"/>
      <c r="E630" s="50"/>
      <c r="F630" s="50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2.75" customHeight="1">
      <c r="A631" s="48"/>
      <c r="B631" s="48"/>
      <c r="C631" s="49"/>
      <c r="D631" s="50"/>
      <c r="E631" s="50"/>
      <c r="F631" s="50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2.75" customHeight="1">
      <c r="A632" s="48"/>
      <c r="B632" s="48"/>
      <c r="C632" s="49"/>
      <c r="D632" s="50"/>
      <c r="E632" s="50"/>
      <c r="F632" s="50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2.75" customHeight="1">
      <c r="A633" s="48"/>
      <c r="B633" s="48"/>
      <c r="C633" s="49"/>
      <c r="D633" s="50"/>
      <c r="E633" s="50"/>
      <c r="F633" s="50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2.75" customHeight="1">
      <c r="A634" s="48"/>
      <c r="B634" s="48"/>
      <c r="C634" s="49"/>
      <c r="D634" s="50"/>
      <c r="E634" s="50"/>
      <c r="F634" s="50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2.75" customHeight="1">
      <c r="A635" s="48"/>
      <c r="B635" s="48"/>
      <c r="C635" s="49"/>
      <c r="D635" s="50"/>
      <c r="E635" s="50"/>
      <c r="F635" s="50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2.75" customHeight="1">
      <c r="A636" s="48"/>
      <c r="B636" s="48"/>
      <c r="C636" s="49"/>
      <c r="D636" s="50"/>
      <c r="E636" s="50"/>
      <c r="F636" s="50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2.75" customHeight="1">
      <c r="A637" s="48"/>
      <c r="B637" s="48"/>
      <c r="C637" s="49"/>
      <c r="D637" s="50"/>
      <c r="E637" s="50"/>
      <c r="F637" s="50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2.75" customHeight="1">
      <c r="A638" s="48"/>
      <c r="B638" s="48"/>
      <c r="C638" s="49"/>
      <c r="D638" s="50"/>
      <c r="E638" s="50"/>
      <c r="F638" s="50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2.75" customHeight="1">
      <c r="A639" s="48"/>
      <c r="B639" s="48"/>
      <c r="C639" s="49"/>
      <c r="D639" s="50"/>
      <c r="E639" s="50"/>
      <c r="F639" s="50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2.75" customHeight="1">
      <c r="A640" s="48"/>
      <c r="B640" s="48"/>
      <c r="C640" s="49"/>
      <c r="D640" s="50"/>
      <c r="E640" s="50"/>
      <c r="F640" s="50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2.75" customHeight="1">
      <c r="A641" s="48"/>
      <c r="B641" s="48"/>
      <c r="C641" s="49"/>
      <c r="D641" s="50"/>
      <c r="E641" s="50"/>
      <c r="F641" s="50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2.75" customHeight="1">
      <c r="A642" s="48"/>
      <c r="B642" s="48"/>
      <c r="C642" s="49"/>
      <c r="D642" s="50"/>
      <c r="E642" s="50"/>
      <c r="F642" s="50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2.75" customHeight="1">
      <c r="A643" s="48"/>
      <c r="B643" s="48"/>
      <c r="C643" s="49"/>
      <c r="D643" s="50"/>
      <c r="E643" s="50"/>
      <c r="F643" s="50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2.75" customHeight="1">
      <c r="A644" s="48"/>
      <c r="B644" s="48"/>
      <c r="C644" s="49"/>
      <c r="D644" s="50"/>
      <c r="E644" s="50"/>
      <c r="F644" s="50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2.75" customHeight="1">
      <c r="A645" s="48"/>
      <c r="B645" s="48"/>
      <c r="C645" s="49"/>
      <c r="D645" s="50"/>
      <c r="E645" s="50"/>
      <c r="F645" s="50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2.75" customHeight="1">
      <c r="A646" s="48"/>
      <c r="B646" s="48"/>
      <c r="C646" s="49"/>
      <c r="D646" s="50"/>
      <c r="E646" s="50"/>
      <c r="F646" s="50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2.75" customHeight="1">
      <c r="A647" s="48"/>
      <c r="B647" s="48"/>
      <c r="C647" s="49"/>
      <c r="D647" s="50"/>
      <c r="E647" s="50"/>
      <c r="F647" s="50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2.75" customHeight="1">
      <c r="A648" s="48"/>
      <c r="B648" s="48"/>
      <c r="C648" s="49"/>
      <c r="D648" s="50"/>
      <c r="E648" s="50"/>
      <c r="F648" s="50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2.75" customHeight="1">
      <c r="A649" s="48"/>
      <c r="B649" s="48"/>
      <c r="C649" s="49"/>
      <c r="D649" s="50"/>
      <c r="E649" s="50"/>
      <c r="F649" s="50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2.75" customHeight="1">
      <c r="A650" s="48"/>
      <c r="B650" s="48"/>
      <c r="C650" s="49"/>
      <c r="D650" s="50"/>
      <c r="E650" s="50"/>
      <c r="F650" s="50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2.75" customHeight="1">
      <c r="A651" s="48"/>
      <c r="B651" s="48"/>
      <c r="C651" s="49"/>
      <c r="D651" s="50"/>
      <c r="E651" s="50"/>
      <c r="F651" s="50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2.75" customHeight="1">
      <c r="A652" s="48"/>
      <c r="B652" s="48"/>
      <c r="C652" s="49"/>
      <c r="D652" s="50"/>
      <c r="E652" s="50"/>
      <c r="F652" s="50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2.75" customHeight="1">
      <c r="A653" s="48"/>
      <c r="B653" s="48"/>
      <c r="C653" s="49"/>
      <c r="D653" s="50"/>
      <c r="E653" s="50"/>
      <c r="F653" s="50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2.75" customHeight="1">
      <c r="A654" s="48"/>
      <c r="B654" s="48"/>
      <c r="C654" s="49"/>
      <c r="D654" s="50"/>
      <c r="E654" s="50"/>
      <c r="F654" s="50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2.75" customHeight="1">
      <c r="A655" s="48"/>
      <c r="B655" s="48"/>
      <c r="C655" s="49"/>
      <c r="D655" s="50"/>
      <c r="E655" s="50"/>
      <c r="F655" s="50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2.75" customHeight="1">
      <c r="A656" s="48"/>
      <c r="B656" s="48"/>
      <c r="C656" s="49"/>
      <c r="D656" s="50"/>
      <c r="E656" s="50"/>
      <c r="F656" s="50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2.75" customHeight="1">
      <c r="A657" s="48"/>
      <c r="B657" s="48"/>
      <c r="C657" s="49"/>
      <c r="D657" s="50"/>
      <c r="E657" s="50"/>
      <c r="F657" s="50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2.75" customHeight="1">
      <c r="A658" s="48"/>
      <c r="B658" s="48"/>
      <c r="C658" s="49"/>
      <c r="D658" s="50"/>
      <c r="E658" s="50"/>
      <c r="F658" s="50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2.75" customHeight="1">
      <c r="A659" s="48"/>
      <c r="B659" s="48"/>
      <c r="C659" s="49"/>
      <c r="D659" s="50"/>
      <c r="E659" s="50"/>
      <c r="F659" s="50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2.75" customHeight="1">
      <c r="A660" s="48"/>
      <c r="B660" s="48"/>
      <c r="C660" s="49"/>
      <c r="D660" s="50"/>
      <c r="E660" s="50"/>
      <c r="F660" s="50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2.75" customHeight="1">
      <c r="A661" s="48"/>
      <c r="B661" s="48"/>
      <c r="C661" s="49"/>
      <c r="D661" s="50"/>
      <c r="E661" s="50"/>
      <c r="F661" s="50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2.75" customHeight="1">
      <c r="A662" s="48"/>
      <c r="B662" s="48"/>
      <c r="C662" s="49"/>
      <c r="D662" s="50"/>
      <c r="E662" s="50"/>
      <c r="F662" s="50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2.75" customHeight="1">
      <c r="A663" s="48"/>
      <c r="B663" s="48"/>
      <c r="C663" s="49"/>
      <c r="D663" s="50"/>
      <c r="E663" s="50"/>
      <c r="F663" s="50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2.75" customHeight="1">
      <c r="A664" s="48"/>
      <c r="B664" s="48"/>
      <c r="C664" s="49"/>
      <c r="D664" s="50"/>
      <c r="E664" s="50"/>
      <c r="F664" s="50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2.75" customHeight="1">
      <c r="A665" s="48"/>
      <c r="B665" s="48"/>
      <c r="C665" s="49"/>
      <c r="D665" s="50"/>
      <c r="E665" s="50"/>
      <c r="F665" s="50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2.75" customHeight="1">
      <c r="A666" s="48"/>
      <c r="B666" s="48"/>
      <c r="C666" s="49"/>
      <c r="D666" s="50"/>
      <c r="E666" s="50"/>
      <c r="F666" s="50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2.75" customHeight="1">
      <c r="A667" s="48"/>
      <c r="B667" s="48"/>
      <c r="C667" s="49"/>
      <c r="D667" s="50"/>
      <c r="E667" s="50"/>
      <c r="F667" s="50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2.75" customHeight="1">
      <c r="A668" s="48"/>
      <c r="B668" s="48"/>
      <c r="C668" s="49"/>
      <c r="D668" s="50"/>
      <c r="E668" s="50"/>
      <c r="F668" s="50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2.75" customHeight="1">
      <c r="A669" s="48"/>
      <c r="B669" s="48"/>
      <c r="C669" s="49"/>
      <c r="D669" s="50"/>
      <c r="E669" s="50"/>
      <c r="F669" s="50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2.75" customHeight="1">
      <c r="A670" s="48"/>
      <c r="B670" s="48"/>
      <c r="C670" s="49"/>
      <c r="D670" s="50"/>
      <c r="E670" s="50"/>
      <c r="F670" s="50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2.75" customHeight="1">
      <c r="A671" s="48"/>
      <c r="B671" s="48"/>
      <c r="C671" s="49"/>
      <c r="D671" s="50"/>
      <c r="E671" s="50"/>
      <c r="F671" s="50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2.75" customHeight="1">
      <c r="A672" s="48"/>
      <c r="B672" s="48"/>
      <c r="C672" s="49"/>
      <c r="D672" s="50"/>
      <c r="E672" s="50"/>
      <c r="F672" s="50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2.75" customHeight="1">
      <c r="A673" s="48"/>
      <c r="B673" s="48"/>
      <c r="C673" s="49"/>
      <c r="D673" s="50"/>
      <c r="E673" s="50"/>
      <c r="F673" s="50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2.75" customHeight="1">
      <c r="A674" s="48"/>
      <c r="B674" s="48"/>
      <c r="C674" s="49"/>
      <c r="D674" s="50"/>
      <c r="E674" s="50"/>
      <c r="F674" s="50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2.75" customHeight="1">
      <c r="A675" s="48"/>
      <c r="B675" s="48"/>
      <c r="C675" s="49"/>
      <c r="D675" s="50"/>
      <c r="E675" s="50"/>
      <c r="F675" s="50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2.75" customHeight="1">
      <c r="A676" s="48"/>
      <c r="B676" s="48"/>
      <c r="C676" s="49"/>
      <c r="D676" s="50"/>
      <c r="E676" s="50"/>
      <c r="F676" s="50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2.75" customHeight="1">
      <c r="A677" s="48"/>
      <c r="B677" s="48"/>
      <c r="C677" s="49"/>
      <c r="D677" s="50"/>
      <c r="E677" s="50"/>
      <c r="F677" s="50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2.75" customHeight="1">
      <c r="A678" s="48"/>
      <c r="B678" s="48"/>
      <c r="C678" s="49"/>
      <c r="D678" s="50"/>
      <c r="E678" s="50"/>
      <c r="F678" s="50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2.75" customHeight="1">
      <c r="A679" s="48"/>
      <c r="B679" s="48"/>
      <c r="C679" s="49"/>
      <c r="D679" s="50"/>
      <c r="E679" s="50"/>
      <c r="F679" s="50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2.75" customHeight="1">
      <c r="A680" s="48"/>
      <c r="B680" s="48"/>
      <c r="C680" s="49"/>
      <c r="D680" s="50"/>
      <c r="E680" s="50"/>
      <c r="F680" s="50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2.75" customHeight="1">
      <c r="A681" s="48"/>
      <c r="B681" s="48"/>
      <c r="C681" s="49"/>
      <c r="D681" s="50"/>
      <c r="E681" s="50"/>
      <c r="F681" s="50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2.75" customHeight="1">
      <c r="A682" s="48"/>
      <c r="B682" s="48"/>
      <c r="C682" s="49"/>
      <c r="D682" s="50"/>
      <c r="E682" s="50"/>
      <c r="F682" s="50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2.75" customHeight="1">
      <c r="A683" s="48"/>
      <c r="B683" s="48"/>
      <c r="C683" s="49"/>
      <c r="D683" s="50"/>
      <c r="E683" s="50"/>
      <c r="F683" s="50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2.75" customHeight="1">
      <c r="A684" s="48"/>
      <c r="B684" s="48"/>
      <c r="C684" s="49"/>
      <c r="D684" s="50"/>
      <c r="E684" s="50"/>
      <c r="F684" s="50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2.75" customHeight="1">
      <c r="A685" s="48"/>
      <c r="B685" s="48"/>
      <c r="C685" s="49"/>
      <c r="D685" s="50"/>
      <c r="E685" s="50"/>
      <c r="F685" s="50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2.75" customHeight="1">
      <c r="A686" s="48"/>
      <c r="B686" s="48"/>
      <c r="C686" s="49"/>
      <c r="D686" s="50"/>
      <c r="E686" s="50"/>
      <c r="F686" s="50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2.75" customHeight="1">
      <c r="A687" s="48"/>
      <c r="B687" s="48"/>
      <c r="C687" s="49"/>
      <c r="D687" s="50"/>
      <c r="E687" s="50"/>
      <c r="F687" s="50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2.75" customHeight="1">
      <c r="A688" s="48"/>
      <c r="B688" s="48"/>
      <c r="C688" s="49"/>
      <c r="D688" s="50"/>
      <c r="E688" s="50"/>
      <c r="F688" s="50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2.75" customHeight="1">
      <c r="A689" s="48"/>
      <c r="B689" s="48"/>
      <c r="C689" s="49"/>
      <c r="D689" s="50"/>
      <c r="E689" s="50"/>
      <c r="F689" s="50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2.75" customHeight="1">
      <c r="A690" s="48"/>
      <c r="B690" s="48"/>
      <c r="C690" s="49"/>
      <c r="D690" s="50"/>
      <c r="E690" s="50"/>
      <c r="F690" s="50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2.75" customHeight="1">
      <c r="A691" s="48"/>
      <c r="B691" s="48"/>
      <c r="C691" s="49"/>
      <c r="D691" s="50"/>
      <c r="E691" s="50"/>
      <c r="F691" s="50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2.75" customHeight="1">
      <c r="A692" s="48"/>
      <c r="B692" s="48"/>
      <c r="C692" s="49"/>
      <c r="D692" s="50"/>
      <c r="E692" s="50"/>
      <c r="F692" s="50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2.75" customHeight="1">
      <c r="A693" s="48"/>
      <c r="B693" s="48"/>
      <c r="C693" s="49"/>
      <c r="D693" s="50"/>
      <c r="E693" s="50"/>
      <c r="F693" s="50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2.75" customHeight="1">
      <c r="A694" s="48"/>
      <c r="B694" s="48"/>
      <c r="C694" s="49"/>
      <c r="D694" s="50"/>
      <c r="E694" s="50"/>
      <c r="F694" s="50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2.75" customHeight="1">
      <c r="A695" s="48"/>
      <c r="B695" s="48"/>
      <c r="C695" s="49"/>
      <c r="D695" s="50"/>
      <c r="E695" s="50"/>
      <c r="F695" s="50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2.75" customHeight="1">
      <c r="A696" s="48"/>
      <c r="B696" s="48"/>
      <c r="C696" s="49"/>
      <c r="D696" s="50"/>
      <c r="E696" s="50"/>
      <c r="F696" s="50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2.75" customHeight="1">
      <c r="A697" s="48"/>
      <c r="B697" s="48"/>
      <c r="C697" s="49"/>
      <c r="D697" s="50"/>
      <c r="E697" s="50"/>
      <c r="F697" s="50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2.75" customHeight="1">
      <c r="A698" s="48"/>
      <c r="B698" s="48"/>
      <c r="C698" s="49"/>
      <c r="D698" s="50"/>
      <c r="E698" s="50"/>
      <c r="F698" s="50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2.75" customHeight="1">
      <c r="A699" s="48"/>
      <c r="B699" s="48"/>
      <c r="C699" s="49"/>
      <c r="D699" s="50"/>
      <c r="E699" s="50"/>
      <c r="F699" s="50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2.75" customHeight="1">
      <c r="A700" s="48"/>
      <c r="B700" s="48"/>
      <c r="C700" s="49"/>
      <c r="D700" s="50"/>
      <c r="E700" s="50"/>
      <c r="F700" s="50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2.75" customHeight="1">
      <c r="A701" s="48"/>
      <c r="B701" s="48"/>
      <c r="C701" s="49"/>
      <c r="D701" s="50"/>
      <c r="E701" s="50"/>
      <c r="F701" s="50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2.75" customHeight="1">
      <c r="A702" s="48"/>
      <c r="B702" s="48"/>
      <c r="C702" s="49"/>
      <c r="D702" s="50"/>
      <c r="E702" s="50"/>
      <c r="F702" s="50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2.75" customHeight="1">
      <c r="A703" s="48"/>
      <c r="B703" s="48"/>
      <c r="C703" s="49"/>
      <c r="D703" s="50"/>
      <c r="E703" s="50"/>
      <c r="F703" s="50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2.75" customHeight="1">
      <c r="A704" s="48"/>
      <c r="B704" s="48"/>
      <c r="C704" s="49"/>
      <c r="D704" s="50"/>
      <c r="E704" s="50"/>
      <c r="F704" s="50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2.75" customHeight="1">
      <c r="A705" s="48"/>
      <c r="B705" s="48"/>
      <c r="C705" s="49"/>
      <c r="D705" s="50"/>
      <c r="E705" s="50"/>
      <c r="F705" s="50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2.75" customHeight="1">
      <c r="A706" s="48"/>
      <c r="B706" s="48"/>
      <c r="C706" s="49"/>
      <c r="D706" s="50"/>
      <c r="E706" s="50"/>
      <c r="F706" s="50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2.75" customHeight="1">
      <c r="A707" s="48"/>
      <c r="B707" s="48"/>
      <c r="C707" s="49"/>
      <c r="D707" s="50"/>
      <c r="E707" s="50"/>
      <c r="F707" s="50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2.75" customHeight="1">
      <c r="A708" s="48"/>
      <c r="B708" s="48"/>
      <c r="C708" s="49"/>
      <c r="D708" s="50"/>
      <c r="E708" s="50"/>
      <c r="F708" s="50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2.75" customHeight="1">
      <c r="A709" s="48"/>
      <c r="B709" s="48"/>
      <c r="C709" s="49"/>
      <c r="D709" s="50"/>
      <c r="E709" s="50"/>
      <c r="F709" s="50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2.75" customHeight="1">
      <c r="A710" s="48"/>
      <c r="B710" s="48"/>
      <c r="C710" s="49"/>
      <c r="D710" s="50"/>
      <c r="E710" s="50"/>
      <c r="F710" s="50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2.75" customHeight="1">
      <c r="A711" s="48"/>
      <c r="B711" s="48"/>
      <c r="C711" s="49"/>
      <c r="D711" s="50"/>
      <c r="E711" s="50"/>
      <c r="F711" s="50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2.75" customHeight="1">
      <c r="A712" s="48"/>
      <c r="B712" s="48"/>
      <c r="C712" s="49"/>
      <c r="D712" s="50"/>
      <c r="E712" s="50"/>
      <c r="F712" s="50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2.75" customHeight="1">
      <c r="A713" s="48"/>
      <c r="B713" s="48"/>
      <c r="C713" s="49"/>
      <c r="D713" s="50"/>
      <c r="E713" s="50"/>
      <c r="F713" s="50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2.75" customHeight="1">
      <c r="A714" s="48"/>
      <c r="B714" s="48"/>
      <c r="C714" s="49"/>
      <c r="D714" s="50"/>
      <c r="E714" s="50"/>
      <c r="F714" s="50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2.75" customHeight="1">
      <c r="A715" s="48"/>
      <c r="B715" s="48"/>
      <c r="C715" s="49"/>
      <c r="D715" s="50"/>
      <c r="E715" s="50"/>
      <c r="F715" s="50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2.75" customHeight="1">
      <c r="A716" s="48"/>
      <c r="B716" s="48"/>
      <c r="C716" s="49"/>
      <c r="D716" s="50"/>
      <c r="E716" s="50"/>
      <c r="F716" s="50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2.75" customHeight="1">
      <c r="A717" s="48"/>
      <c r="B717" s="48"/>
      <c r="C717" s="49"/>
      <c r="D717" s="50"/>
      <c r="E717" s="50"/>
      <c r="F717" s="50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2.75" customHeight="1">
      <c r="A718" s="48"/>
      <c r="B718" s="48"/>
      <c r="C718" s="49"/>
      <c r="D718" s="50"/>
      <c r="E718" s="50"/>
      <c r="F718" s="50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2.75" customHeight="1">
      <c r="A719" s="48"/>
      <c r="B719" s="48"/>
      <c r="C719" s="49"/>
      <c r="D719" s="50"/>
      <c r="E719" s="50"/>
      <c r="F719" s="50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2.75" customHeight="1">
      <c r="A720" s="48"/>
      <c r="B720" s="48"/>
      <c r="C720" s="49"/>
      <c r="D720" s="50"/>
      <c r="E720" s="50"/>
      <c r="F720" s="50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2.75" customHeight="1">
      <c r="A721" s="48"/>
      <c r="B721" s="48"/>
      <c r="C721" s="49"/>
      <c r="D721" s="50"/>
      <c r="E721" s="50"/>
      <c r="F721" s="50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2.75" customHeight="1">
      <c r="A722" s="48"/>
      <c r="B722" s="48"/>
      <c r="C722" s="49"/>
      <c r="D722" s="50"/>
      <c r="E722" s="50"/>
      <c r="F722" s="50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2.75" customHeight="1">
      <c r="A723" s="48"/>
      <c r="B723" s="48"/>
      <c r="C723" s="49"/>
      <c r="D723" s="50"/>
      <c r="E723" s="50"/>
      <c r="F723" s="50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2.75" customHeight="1">
      <c r="A724" s="48"/>
      <c r="B724" s="48"/>
      <c r="C724" s="49"/>
      <c r="D724" s="50"/>
      <c r="E724" s="50"/>
      <c r="F724" s="50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2.75" customHeight="1">
      <c r="A725" s="48"/>
      <c r="B725" s="48"/>
      <c r="C725" s="49"/>
      <c r="D725" s="50"/>
      <c r="E725" s="50"/>
      <c r="F725" s="50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2.75" customHeight="1">
      <c r="A726" s="48"/>
      <c r="B726" s="48"/>
      <c r="C726" s="49"/>
      <c r="D726" s="50"/>
      <c r="E726" s="50"/>
      <c r="F726" s="50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2.75" customHeight="1">
      <c r="A727" s="48"/>
      <c r="B727" s="48"/>
      <c r="C727" s="49"/>
      <c r="D727" s="50"/>
      <c r="E727" s="50"/>
      <c r="F727" s="50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2.75" customHeight="1">
      <c r="A728" s="48"/>
      <c r="B728" s="48"/>
      <c r="C728" s="49"/>
      <c r="D728" s="50"/>
      <c r="E728" s="50"/>
      <c r="F728" s="50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2.75" customHeight="1">
      <c r="A729" s="48"/>
      <c r="B729" s="48"/>
      <c r="C729" s="49"/>
      <c r="D729" s="50"/>
      <c r="E729" s="50"/>
      <c r="F729" s="50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2.75" customHeight="1">
      <c r="A730" s="48"/>
      <c r="B730" s="48"/>
      <c r="C730" s="49"/>
      <c r="D730" s="50"/>
      <c r="E730" s="50"/>
      <c r="F730" s="50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2.75" customHeight="1">
      <c r="A731" s="48"/>
      <c r="B731" s="48"/>
      <c r="C731" s="49"/>
      <c r="D731" s="50"/>
      <c r="E731" s="50"/>
      <c r="F731" s="50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2.75" customHeight="1">
      <c r="A732" s="48"/>
      <c r="B732" s="48"/>
      <c r="C732" s="49"/>
      <c r="D732" s="50"/>
      <c r="E732" s="50"/>
      <c r="F732" s="50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2.75" customHeight="1">
      <c r="A733" s="48"/>
      <c r="B733" s="48"/>
      <c r="C733" s="49"/>
      <c r="D733" s="50"/>
      <c r="E733" s="50"/>
      <c r="F733" s="50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2.75" customHeight="1">
      <c r="A734" s="48"/>
      <c r="B734" s="48"/>
      <c r="C734" s="49"/>
      <c r="D734" s="50"/>
      <c r="E734" s="50"/>
      <c r="F734" s="50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2.75" customHeight="1">
      <c r="A735" s="48"/>
      <c r="B735" s="48"/>
      <c r="C735" s="49"/>
      <c r="D735" s="50"/>
      <c r="E735" s="50"/>
      <c r="F735" s="50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2.75" customHeight="1">
      <c r="A736" s="48"/>
      <c r="B736" s="48"/>
      <c r="C736" s="49"/>
      <c r="D736" s="50"/>
      <c r="E736" s="50"/>
      <c r="F736" s="50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2.75" customHeight="1">
      <c r="A737" s="48"/>
      <c r="B737" s="48"/>
      <c r="C737" s="49"/>
      <c r="D737" s="50"/>
      <c r="E737" s="50"/>
      <c r="F737" s="50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2.75" customHeight="1">
      <c r="A738" s="48"/>
      <c r="B738" s="48"/>
      <c r="C738" s="49"/>
      <c r="D738" s="50"/>
      <c r="E738" s="50"/>
      <c r="F738" s="50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2.75" customHeight="1">
      <c r="A739" s="48"/>
      <c r="B739" s="48"/>
      <c r="C739" s="49"/>
      <c r="D739" s="50"/>
      <c r="E739" s="50"/>
      <c r="F739" s="50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2.75" customHeight="1">
      <c r="A740" s="48"/>
      <c r="B740" s="48"/>
      <c r="C740" s="49"/>
      <c r="D740" s="50"/>
      <c r="E740" s="50"/>
      <c r="F740" s="50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2.75" customHeight="1">
      <c r="A741" s="48"/>
      <c r="B741" s="48"/>
      <c r="C741" s="49"/>
      <c r="D741" s="50"/>
      <c r="E741" s="50"/>
      <c r="F741" s="50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2.75" customHeight="1">
      <c r="A742" s="48"/>
      <c r="B742" s="48"/>
      <c r="C742" s="49"/>
      <c r="D742" s="50"/>
      <c r="E742" s="50"/>
      <c r="F742" s="50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2.75" customHeight="1">
      <c r="A743" s="48"/>
      <c r="B743" s="48"/>
      <c r="C743" s="49"/>
      <c r="D743" s="50"/>
      <c r="E743" s="50"/>
      <c r="F743" s="50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2.75" customHeight="1">
      <c r="A744" s="48"/>
      <c r="B744" s="48"/>
      <c r="C744" s="49"/>
      <c r="D744" s="50"/>
      <c r="E744" s="50"/>
      <c r="F744" s="50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2.75" customHeight="1">
      <c r="A745" s="48"/>
      <c r="B745" s="48"/>
      <c r="C745" s="49"/>
      <c r="D745" s="50"/>
      <c r="E745" s="50"/>
      <c r="F745" s="50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2.75" customHeight="1">
      <c r="A746" s="48"/>
      <c r="B746" s="48"/>
      <c r="C746" s="49"/>
      <c r="D746" s="50"/>
      <c r="E746" s="50"/>
      <c r="F746" s="50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2.75" customHeight="1">
      <c r="A747" s="48"/>
      <c r="B747" s="48"/>
      <c r="C747" s="49"/>
      <c r="D747" s="50"/>
      <c r="E747" s="50"/>
      <c r="F747" s="50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2.75" customHeight="1">
      <c r="A748" s="48"/>
      <c r="B748" s="48"/>
      <c r="C748" s="49"/>
      <c r="D748" s="50"/>
      <c r="E748" s="50"/>
      <c r="F748" s="50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2.75" customHeight="1">
      <c r="A749" s="48"/>
      <c r="B749" s="48"/>
      <c r="C749" s="49"/>
      <c r="D749" s="50"/>
      <c r="E749" s="50"/>
      <c r="F749" s="50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2.75" customHeight="1">
      <c r="A750" s="48"/>
      <c r="B750" s="48"/>
      <c r="C750" s="49"/>
      <c r="D750" s="50"/>
      <c r="E750" s="50"/>
      <c r="F750" s="50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2.75" customHeight="1">
      <c r="A751" s="48"/>
      <c r="B751" s="48"/>
      <c r="C751" s="49"/>
      <c r="D751" s="50"/>
      <c r="E751" s="50"/>
      <c r="F751" s="50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2.75" customHeight="1">
      <c r="A752" s="48"/>
      <c r="B752" s="48"/>
      <c r="C752" s="49"/>
      <c r="D752" s="50"/>
      <c r="E752" s="50"/>
      <c r="F752" s="50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2.75" customHeight="1">
      <c r="A753" s="48"/>
      <c r="B753" s="48"/>
      <c r="C753" s="49"/>
      <c r="D753" s="50"/>
      <c r="E753" s="50"/>
      <c r="F753" s="50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2.75" customHeight="1">
      <c r="A754" s="48"/>
      <c r="B754" s="48"/>
      <c r="C754" s="49"/>
      <c r="D754" s="50"/>
      <c r="E754" s="50"/>
      <c r="F754" s="50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2.75" customHeight="1">
      <c r="A755" s="48"/>
      <c r="B755" s="48"/>
      <c r="C755" s="49"/>
      <c r="D755" s="50"/>
      <c r="E755" s="50"/>
      <c r="F755" s="50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2.75" customHeight="1">
      <c r="A756" s="48"/>
      <c r="B756" s="48"/>
      <c r="C756" s="49"/>
      <c r="D756" s="50"/>
      <c r="E756" s="50"/>
      <c r="F756" s="50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2.75" customHeight="1">
      <c r="A757" s="48"/>
      <c r="B757" s="48"/>
      <c r="C757" s="49"/>
      <c r="D757" s="50"/>
      <c r="E757" s="50"/>
      <c r="F757" s="50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2.75" customHeight="1">
      <c r="A758" s="48"/>
      <c r="B758" s="48"/>
      <c r="C758" s="49"/>
      <c r="D758" s="50"/>
      <c r="E758" s="50"/>
      <c r="F758" s="50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2.75" customHeight="1">
      <c r="A759" s="48"/>
      <c r="B759" s="48"/>
      <c r="C759" s="49"/>
      <c r="D759" s="50"/>
      <c r="E759" s="50"/>
      <c r="F759" s="50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2.75" customHeight="1">
      <c r="A760" s="48"/>
      <c r="B760" s="48"/>
      <c r="C760" s="49"/>
      <c r="D760" s="50"/>
      <c r="E760" s="50"/>
      <c r="F760" s="50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2.75" customHeight="1">
      <c r="A761" s="48"/>
      <c r="B761" s="48"/>
      <c r="C761" s="49"/>
      <c r="D761" s="50"/>
      <c r="E761" s="50"/>
      <c r="F761" s="50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2.75" customHeight="1">
      <c r="A762" s="48"/>
      <c r="B762" s="48"/>
      <c r="C762" s="49"/>
      <c r="D762" s="50"/>
      <c r="E762" s="50"/>
      <c r="F762" s="50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2.75" customHeight="1">
      <c r="A763" s="48"/>
      <c r="B763" s="48"/>
      <c r="C763" s="49"/>
      <c r="D763" s="50"/>
      <c r="E763" s="50"/>
      <c r="F763" s="50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2.75" customHeight="1">
      <c r="A764" s="48"/>
      <c r="B764" s="48"/>
      <c r="C764" s="49"/>
      <c r="D764" s="50"/>
      <c r="E764" s="50"/>
      <c r="F764" s="50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2.75" customHeight="1">
      <c r="A765" s="48"/>
      <c r="B765" s="48"/>
      <c r="C765" s="49"/>
      <c r="D765" s="50"/>
      <c r="E765" s="50"/>
      <c r="F765" s="50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2.75" customHeight="1">
      <c r="A766" s="48"/>
      <c r="B766" s="48"/>
      <c r="C766" s="49"/>
      <c r="D766" s="50"/>
      <c r="E766" s="50"/>
      <c r="F766" s="50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2.75" customHeight="1">
      <c r="A767" s="48"/>
      <c r="B767" s="48"/>
      <c r="C767" s="49"/>
      <c r="D767" s="50"/>
      <c r="E767" s="50"/>
      <c r="F767" s="50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2.75" customHeight="1">
      <c r="A768" s="48"/>
      <c r="B768" s="48"/>
      <c r="C768" s="49"/>
      <c r="D768" s="50"/>
      <c r="E768" s="50"/>
      <c r="F768" s="50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2.75" customHeight="1">
      <c r="A769" s="48"/>
      <c r="B769" s="48"/>
      <c r="C769" s="49"/>
      <c r="D769" s="50"/>
      <c r="E769" s="50"/>
      <c r="F769" s="50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2.75" customHeight="1">
      <c r="A770" s="48"/>
      <c r="B770" s="48"/>
      <c r="C770" s="49"/>
      <c r="D770" s="50"/>
      <c r="E770" s="50"/>
      <c r="F770" s="50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2.75" customHeight="1">
      <c r="A771" s="48"/>
      <c r="B771" s="48"/>
      <c r="C771" s="49"/>
      <c r="D771" s="50"/>
      <c r="E771" s="50"/>
      <c r="F771" s="50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2.75" customHeight="1">
      <c r="A772" s="48"/>
      <c r="B772" s="48"/>
      <c r="C772" s="49"/>
      <c r="D772" s="50"/>
      <c r="E772" s="50"/>
      <c r="F772" s="50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2.75" customHeight="1">
      <c r="A773" s="48"/>
      <c r="B773" s="48"/>
      <c r="C773" s="49"/>
      <c r="D773" s="50"/>
      <c r="E773" s="50"/>
      <c r="F773" s="50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2.75" customHeight="1">
      <c r="A774" s="48"/>
      <c r="B774" s="48"/>
      <c r="C774" s="49"/>
      <c r="D774" s="50"/>
      <c r="E774" s="50"/>
      <c r="F774" s="50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2.75" customHeight="1">
      <c r="A775" s="48"/>
      <c r="B775" s="48"/>
      <c r="C775" s="49"/>
      <c r="D775" s="50"/>
      <c r="E775" s="50"/>
      <c r="F775" s="50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2.75" customHeight="1">
      <c r="A776" s="48"/>
      <c r="B776" s="48"/>
      <c r="C776" s="49"/>
      <c r="D776" s="50"/>
      <c r="E776" s="50"/>
      <c r="F776" s="50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2.75" customHeight="1">
      <c r="A777" s="48"/>
      <c r="B777" s="48"/>
      <c r="C777" s="49"/>
      <c r="D777" s="50"/>
      <c r="E777" s="50"/>
      <c r="F777" s="50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2.75" customHeight="1">
      <c r="A778" s="48"/>
      <c r="B778" s="48"/>
      <c r="C778" s="49"/>
      <c r="D778" s="50"/>
      <c r="E778" s="50"/>
      <c r="F778" s="50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2.75" customHeight="1">
      <c r="A779" s="48"/>
      <c r="B779" s="48"/>
      <c r="C779" s="49"/>
      <c r="D779" s="50"/>
      <c r="E779" s="50"/>
      <c r="F779" s="50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2.75" customHeight="1">
      <c r="A780" s="48"/>
      <c r="B780" s="48"/>
      <c r="C780" s="49"/>
      <c r="D780" s="50"/>
      <c r="E780" s="50"/>
      <c r="F780" s="50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2.75" customHeight="1">
      <c r="A781" s="48"/>
      <c r="B781" s="48"/>
      <c r="C781" s="49"/>
      <c r="D781" s="50"/>
      <c r="E781" s="50"/>
      <c r="F781" s="50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2.75" customHeight="1">
      <c r="A782" s="48"/>
      <c r="B782" s="48"/>
      <c r="C782" s="49"/>
      <c r="D782" s="50"/>
      <c r="E782" s="50"/>
      <c r="F782" s="50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2.75" customHeight="1">
      <c r="A783" s="48"/>
      <c r="B783" s="48"/>
      <c r="C783" s="49"/>
      <c r="D783" s="50"/>
      <c r="E783" s="50"/>
      <c r="F783" s="50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2.75" customHeight="1">
      <c r="A784" s="48"/>
      <c r="B784" s="48"/>
      <c r="C784" s="49"/>
      <c r="D784" s="50"/>
      <c r="E784" s="50"/>
      <c r="F784" s="50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2.75" customHeight="1">
      <c r="A785" s="48"/>
      <c r="B785" s="48"/>
      <c r="C785" s="49"/>
      <c r="D785" s="50"/>
      <c r="E785" s="50"/>
      <c r="F785" s="50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2.75" customHeight="1">
      <c r="A786" s="48"/>
      <c r="B786" s="48"/>
      <c r="C786" s="49"/>
      <c r="D786" s="50"/>
      <c r="E786" s="50"/>
      <c r="F786" s="50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2.75" customHeight="1">
      <c r="A787" s="48"/>
      <c r="B787" s="48"/>
      <c r="C787" s="49"/>
      <c r="D787" s="50"/>
      <c r="E787" s="50"/>
      <c r="F787" s="50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2.75" customHeight="1">
      <c r="A788" s="48"/>
      <c r="B788" s="48"/>
      <c r="C788" s="49"/>
      <c r="D788" s="50"/>
      <c r="E788" s="50"/>
      <c r="F788" s="50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2.75" customHeight="1">
      <c r="A789" s="48"/>
      <c r="B789" s="48"/>
      <c r="C789" s="49"/>
      <c r="D789" s="50"/>
      <c r="E789" s="50"/>
      <c r="F789" s="50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2.75" customHeight="1">
      <c r="A790" s="48"/>
      <c r="B790" s="48"/>
      <c r="C790" s="49"/>
      <c r="D790" s="50"/>
      <c r="E790" s="50"/>
      <c r="F790" s="50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2.75" customHeight="1">
      <c r="A791" s="48"/>
      <c r="B791" s="48"/>
      <c r="C791" s="49"/>
      <c r="D791" s="50"/>
      <c r="E791" s="50"/>
      <c r="F791" s="50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2.75" customHeight="1">
      <c r="A792" s="48"/>
      <c r="B792" s="48"/>
      <c r="C792" s="49"/>
      <c r="D792" s="50"/>
      <c r="E792" s="50"/>
      <c r="F792" s="50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2.75" customHeight="1">
      <c r="A793" s="48"/>
      <c r="B793" s="48"/>
      <c r="C793" s="49"/>
      <c r="D793" s="50"/>
      <c r="E793" s="50"/>
      <c r="F793" s="50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2.75" customHeight="1">
      <c r="A794" s="48"/>
      <c r="B794" s="48"/>
      <c r="C794" s="49"/>
      <c r="D794" s="50"/>
      <c r="E794" s="50"/>
      <c r="F794" s="50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2.75" customHeight="1">
      <c r="A795" s="48"/>
      <c r="B795" s="48"/>
      <c r="C795" s="49"/>
      <c r="D795" s="50"/>
      <c r="E795" s="50"/>
      <c r="F795" s="50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2.75" customHeight="1">
      <c r="A796" s="48"/>
      <c r="B796" s="48"/>
      <c r="C796" s="49"/>
      <c r="D796" s="50"/>
      <c r="E796" s="50"/>
      <c r="F796" s="50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2.75" customHeight="1">
      <c r="A797" s="48"/>
      <c r="B797" s="48"/>
      <c r="C797" s="49"/>
      <c r="D797" s="50"/>
      <c r="E797" s="50"/>
      <c r="F797" s="50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2.75" customHeight="1">
      <c r="A798" s="48"/>
      <c r="B798" s="48"/>
      <c r="C798" s="49"/>
      <c r="D798" s="50"/>
      <c r="E798" s="50"/>
      <c r="F798" s="50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2.75" customHeight="1">
      <c r="A799" s="48"/>
      <c r="B799" s="48"/>
      <c r="C799" s="49"/>
      <c r="D799" s="50"/>
      <c r="E799" s="50"/>
      <c r="F799" s="50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2.75" customHeight="1">
      <c r="A800" s="48"/>
      <c r="B800" s="48"/>
      <c r="C800" s="49"/>
      <c r="D800" s="50"/>
      <c r="E800" s="50"/>
      <c r="F800" s="50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2.75" customHeight="1">
      <c r="A801" s="48"/>
      <c r="B801" s="48"/>
      <c r="C801" s="49"/>
      <c r="D801" s="50"/>
      <c r="E801" s="50"/>
      <c r="F801" s="50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2.75" customHeight="1">
      <c r="A802" s="48"/>
      <c r="B802" s="48"/>
      <c r="C802" s="49"/>
      <c r="D802" s="50"/>
      <c r="E802" s="50"/>
      <c r="F802" s="50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2.75" customHeight="1">
      <c r="A803" s="48"/>
      <c r="B803" s="48"/>
      <c r="C803" s="49"/>
      <c r="D803" s="50"/>
      <c r="E803" s="50"/>
      <c r="F803" s="50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2.75" customHeight="1">
      <c r="A804" s="48"/>
      <c r="B804" s="48"/>
      <c r="C804" s="49"/>
      <c r="D804" s="50"/>
      <c r="E804" s="50"/>
      <c r="F804" s="50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2.75" customHeight="1">
      <c r="A805" s="48"/>
      <c r="B805" s="48"/>
      <c r="C805" s="49"/>
      <c r="D805" s="50"/>
      <c r="E805" s="50"/>
      <c r="F805" s="50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2.75" customHeight="1">
      <c r="A806" s="48"/>
      <c r="B806" s="48"/>
      <c r="C806" s="49"/>
      <c r="D806" s="50"/>
      <c r="E806" s="50"/>
      <c r="F806" s="50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2.75" customHeight="1">
      <c r="A807" s="48"/>
      <c r="B807" s="48"/>
      <c r="C807" s="49"/>
      <c r="D807" s="50"/>
      <c r="E807" s="50"/>
      <c r="F807" s="50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2.75" customHeight="1">
      <c r="A808" s="48"/>
      <c r="B808" s="48"/>
      <c r="C808" s="49"/>
      <c r="D808" s="50"/>
      <c r="E808" s="50"/>
      <c r="F808" s="50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2.75" customHeight="1">
      <c r="A809" s="48"/>
      <c r="B809" s="48"/>
      <c r="C809" s="49"/>
      <c r="D809" s="50"/>
      <c r="E809" s="50"/>
      <c r="F809" s="50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2.75" customHeight="1">
      <c r="A810" s="48"/>
      <c r="B810" s="48"/>
      <c r="C810" s="49"/>
      <c r="D810" s="50"/>
      <c r="E810" s="50"/>
      <c r="F810" s="50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2.75" customHeight="1">
      <c r="A811" s="48"/>
      <c r="B811" s="48"/>
      <c r="C811" s="49"/>
      <c r="D811" s="50"/>
      <c r="E811" s="50"/>
      <c r="F811" s="50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2.75" customHeight="1">
      <c r="A812" s="48"/>
      <c r="B812" s="48"/>
      <c r="C812" s="49"/>
      <c r="D812" s="50"/>
      <c r="E812" s="50"/>
      <c r="F812" s="50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2.75" customHeight="1">
      <c r="A813" s="48"/>
      <c r="B813" s="48"/>
      <c r="C813" s="49"/>
      <c r="D813" s="50"/>
      <c r="E813" s="50"/>
      <c r="F813" s="50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2.75" customHeight="1">
      <c r="A814" s="48"/>
      <c r="B814" s="48"/>
      <c r="C814" s="49"/>
      <c r="D814" s="50"/>
      <c r="E814" s="50"/>
      <c r="F814" s="50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2.75" customHeight="1">
      <c r="A815" s="48"/>
      <c r="B815" s="48"/>
      <c r="C815" s="49"/>
      <c r="D815" s="50"/>
      <c r="E815" s="50"/>
      <c r="F815" s="50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2.75" customHeight="1">
      <c r="A816" s="48"/>
      <c r="B816" s="48"/>
      <c r="C816" s="49"/>
      <c r="D816" s="50"/>
      <c r="E816" s="50"/>
      <c r="F816" s="50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2.75" customHeight="1">
      <c r="A817" s="48"/>
      <c r="B817" s="48"/>
      <c r="C817" s="49"/>
      <c r="D817" s="50"/>
      <c r="E817" s="50"/>
      <c r="F817" s="50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2.75" customHeight="1">
      <c r="A818" s="48"/>
      <c r="B818" s="48"/>
      <c r="C818" s="49"/>
      <c r="D818" s="50"/>
      <c r="E818" s="50"/>
      <c r="F818" s="50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2.75" customHeight="1">
      <c r="A819" s="48"/>
      <c r="B819" s="48"/>
      <c r="C819" s="49"/>
      <c r="D819" s="50"/>
      <c r="E819" s="50"/>
      <c r="F819" s="50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2.75" customHeight="1">
      <c r="A820" s="48"/>
      <c r="B820" s="48"/>
      <c r="C820" s="49"/>
      <c r="D820" s="50"/>
      <c r="E820" s="50"/>
      <c r="F820" s="50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2.75" customHeight="1">
      <c r="A821" s="48"/>
      <c r="B821" s="48"/>
      <c r="C821" s="49"/>
      <c r="D821" s="50"/>
      <c r="E821" s="50"/>
      <c r="F821" s="50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2.75" customHeight="1">
      <c r="A822" s="48"/>
      <c r="B822" s="48"/>
      <c r="C822" s="49"/>
      <c r="D822" s="50"/>
      <c r="E822" s="50"/>
      <c r="F822" s="50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2.75" customHeight="1">
      <c r="A823" s="48"/>
      <c r="B823" s="48"/>
      <c r="C823" s="49"/>
      <c r="D823" s="50"/>
      <c r="E823" s="50"/>
      <c r="F823" s="50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2.75" customHeight="1">
      <c r="A824" s="48"/>
      <c r="B824" s="48"/>
      <c r="C824" s="49"/>
      <c r="D824" s="50"/>
      <c r="E824" s="50"/>
      <c r="F824" s="50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2.75" customHeight="1">
      <c r="A825" s="48"/>
      <c r="B825" s="48"/>
      <c r="C825" s="49"/>
      <c r="D825" s="50"/>
      <c r="E825" s="50"/>
      <c r="F825" s="50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2.75" customHeight="1">
      <c r="A826" s="48"/>
      <c r="B826" s="48"/>
      <c r="C826" s="49"/>
      <c r="D826" s="50"/>
      <c r="E826" s="50"/>
      <c r="F826" s="50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2.75" customHeight="1">
      <c r="A827" s="48"/>
      <c r="B827" s="48"/>
      <c r="C827" s="49"/>
      <c r="D827" s="50"/>
      <c r="E827" s="50"/>
      <c r="F827" s="50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2.75" customHeight="1">
      <c r="A828" s="48"/>
      <c r="B828" s="48"/>
      <c r="C828" s="49"/>
      <c r="D828" s="50"/>
      <c r="E828" s="50"/>
      <c r="F828" s="50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2.75" customHeight="1">
      <c r="A829" s="48"/>
      <c r="B829" s="48"/>
      <c r="C829" s="49"/>
      <c r="D829" s="50"/>
      <c r="E829" s="50"/>
      <c r="F829" s="50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2.75" customHeight="1">
      <c r="A830" s="48"/>
      <c r="B830" s="48"/>
      <c r="C830" s="49"/>
      <c r="D830" s="50"/>
      <c r="E830" s="50"/>
      <c r="F830" s="50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2.75" customHeight="1">
      <c r="A831" s="48"/>
      <c r="B831" s="48"/>
      <c r="C831" s="49"/>
      <c r="D831" s="50"/>
      <c r="E831" s="50"/>
      <c r="F831" s="50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2.75" customHeight="1">
      <c r="A832" s="48"/>
      <c r="B832" s="48"/>
      <c r="C832" s="49"/>
      <c r="D832" s="50"/>
      <c r="E832" s="50"/>
      <c r="F832" s="50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2.75" customHeight="1">
      <c r="A833" s="48"/>
      <c r="B833" s="48"/>
      <c r="C833" s="49"/>
      <c r="D833" s="50"/>
      <c r="E833" s="50"/>
      <c r="F833" s="50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2.75" customHeight="1">
      <c r="A834" s="48"/>
      <c r="B834" s="48"/>
      <c r="C834" s="49"/>
      <c r="D834" s="50"/>
      <c r="E834" s="50"/>
      <c r="F834" s="50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2.75" customHeight="1">
      <c r="A835" s="48"/>
      <c r="B835" s="48"/>
      <c r="C835" s="49"/>
      <c r="D835" s="50"/>
      <c r="E835" s="50"/>
      <c r="F835" s="50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2.75" customHeight="1">
      <c r="A836" s="48"/>
      <c r="B836" s="48"/>
      <c r="C836" s="49"/>
      <c r="D836" s="50"/>
      <c r="E836" s="50"/>
      <c r="F836" s="50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2.75" customHeight="1">
      <c r="A837" s="48"/>
      <c r="B837" s="48"/>
      <c r="C837" s="49"/>
      <c r="D837" s="50"/>
      <c r="E837" s="50"/>
      <c r="F837" s="50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2.75" customHeight="1">
      <c r="A838" s="48"/>
      <c r="B838" s="48"/>
      <c r="C838" s="49"/>
      <c r="D838" s="50"/>
      <c r="E838" s="50"/>
      <c r="F838" s="50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2.75" customHeight="1">
      <c r="A839" s="48"/>
      <c r="B839" s="48"/>
      <c r="C839" s="49"/>
      <c r="D839" s="50"/>
      <c r="E839" s="50"/>
      <c r="F839" s="50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2.75" customHeight="1">
      <c r="A840" s="48"/>
      <c r="B840" s="48"/>
      <c r="C840" s="49"/>
      <c r="D840" s="50"/>
      <c r="E840" s="50"/>
      <c r="F840" s="50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2.75" customHeight="1">
      <c r="A841" s="48"/>
      <c r="B841" s="48"/>
      <c r="C841" s="49"/>
      <c r="D841" s="50"/>
      <c r="E841" s="50"/>
      <c r="F841" s="50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2.75" customHeight="1">
      <c r="A842" s="48"/>
      <c r="B842" s="48"/>
      <c r="C842" s="49"/>
      <c r="D842" s="50"/>
      <c r="E842" s="50"/>
      <c r="F842" s="50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2.75" customHeight="1">
      <c r="A843" s="48"/>
      <c r="B843" s="48"/>
      <c r="C843" s="49"/>
      <c r="D843" s="50"/>
      <c r="E843" s="50"/>
      <c r="F843" s="50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2.75" customHeight="1">
      <c r="A844" s="48"/>
      <c r="B844" s="48"/>
      <c r="C844" s="49"/>
      <c r="D844" s="50"/>
      <c r="E844" s="50"/>
      <c r="F844" s="50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2.75" customHeight="1">
      <c r="A845" s="48"/>
      <c r="B845" s="48"/>
      <c r="C845" s="49"/>
      <c r="D845" s="50"/>
      <c r="E845" s="50"/>
      <c r="F845" s="50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2.75" customHeight="1">
      <c r="A846" s="48"/>
      <c r="B846" s="48"/>
      <c r="C846" s="49"/>
      <c r="D846" s="50"/>
      <c r="E846" s="50"/>
      <c r="F846" s="50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2.75" customHeight="1">
      <c r="A847" s="48"/>
      <c r="B847" s="48"/>
      <c r="C847" s="49"/>
      <c r="D847" s="50"/>
      <c r="E847" s="50"/>
      <c r="F847" s="50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2.75" customHeight="1">
      <c r="A848" s="48"/>
      <c r="B848" s="48"/>
      <c r="C848" s="49"/>
      <c r="D848" s="50"/>
      <c r="E848" s="50"/>
      <c r="F848" s="50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2.75" customHeight="1">
      <c r="A849" s="48"/>
      <c r="B849" s="48"/>
      <c r="C849" s="49"/>
      <c r="D849" s="50"/>
      <c r="E849" s="50"/>
      <c r="F849" s="50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2.75" customHeight="1">
      <c r="A850" s="48"/>
      <c r="B850" s="48"/>
      <c r="C850" s="49"/>
      <c r="D850" s="50"/>
      <c r="E850" s="50"/>
      <c r="F850" s="50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2.75" customHeight="1">
      <c r="A851" s="48"/>
      <c r="B851" s="48"/>
      <c r="C851" s="49"/>
      <c r="D851" s="50"/>
      <c r="E851" s="50"/>
      <c r="F851" s="50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2.75" customHeight="1">
      <c r="A852" s="48"/>
      <c r="B852" s="48"/>
      <c r="C852" s="49"/>
      <c r="D852" s="50"/>
      <c r="E852" s="50"/>
      <c r="F852" s="50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2.75" customHeight="1">
      <c r="A853" s="48"/>
      <c r="B853" s="48"/>
      <c r="C853" s="49"/>
      <c r="D853" s="50"/>
      <c r="E853" s="50"/>
      <c r="F853" s="50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2.75" customHeight="1">
      <c r="A854" s="48"/>
      <c r="B854" s="48"/>
      <c r="C854" s="49"/>
      <c r="D854" s="50"/>
      <c r="E854" s="50"/>
      <c r="F854" s="50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2.75" customHeight="1">
      <c r="A855" s="48"/>
      <c r="B855" s="48"/>
      <c r="C855" s="49"/>
      <c r="D855" s="50"/>
      <c r="E855" s="50"/>
      <c r="F855" s="50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2.75" customHeight="1">
      <c r="A856" s="48"/>
      <c r="B856" s="48"/>
      <c r="C856" s="49"/>
      <c r="D856" s="50"/>
      <c r="E856" s="50"/>
      <c r="F856" s="50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2.75" customHeight="1">
      <c r="A857" s="48"/>
      <c r="B857" s="48"/>
      <c r="C857" s="49"/>
      <c r="D857" s="50"/>
      <c r="E857" s="50"/>
      <c r="F857" s="50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2.75" customHeight="1">
      <c r="A858" s="48"/>
      <c r="B858" s="48"/>
      <c r="C858" s="49"/>
      <c r="D858" s="50"/>
      <c r="E858" s="50"/>
      <c r="F858" s="50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2.75" customHeight="1">
      <c r="A859" s="48"/>
      <c r="B859" s="48"/>
      <c r="C859" s="49"/>
      <c r="D859" s="50"/>
      <c r="E859" s="50"/>
      <c r="F859" s="50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2.75" customHeight="1">
      <c r="A860" s="48"/>
      <c r="B860" s="48"/>
      <c r="C860" s="49"/>
      <c r="D860" s="50"/>
      <c r="E860" s="50"/>
      <c r="F860" s="50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2.75" customHeight="1">
      <c r="A861" s="48"/>
      <c r="B861" s="48"/>
      <c r="C861" s="49"/>
      <c r="D861" s="50"/>
      <c r="E861" s="50"/>
      <c r="F861" s="50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2.75" customHeight="1">
      <c r="A862" s="48"/>
      <c r="B862" s="48"/>
      <c r="C862" s="49"/>
      <c r="D862" s="50"/>
      <c r="E862" s="50"/>
      <c r="F862" s="50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2.75" customHeight="1">
      <c r="A863" s="48"/>
      <c r="B863" s="48"/>
      <c r="C863" s="49"/>
      <c r="D863" s="50"/>
      <c r="E863" s="50"/>
      <c r="F863" s="50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2.75" customHeight="1">
      <c r="A864" s="48"/>
      <c r="B864" s="48"/>
      <c r="C864" s="49"/>
      <c r="D864" s="50"/>
      <c r="E864" s="50"/>
      <c r="F864" s="50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2.75" customHeight="1">
      <c r="A865" s="48"/>
      <c r="B865" s="48"/>
      <c r="C865" s="49"/>
      <c r="D865" s="50"/>
      <c r="E865" s="50"/>
      <c r="F865" s="50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2.75" customHeight="1">
      <c r="A866" s="48"/>
      <c r="B866" s="48"/>
      <c r="C866" s="49"/>
      <c r="D866" s="50"/>
      <c r="E866" s="50"/>
      <c r="F866" s="50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2.75" customHeight="1">
      <c r="A867" s="48"/>
      <c r="B867" s="48"/>
      <c r="C867" s="49"/>
      <c r="D867" s="50"/>
      <c r="E867" s="50"/>
      <c r="F867" s="50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2.75" customHeight="1">
      <c r="A868" s="48"/>
      <c r="B868" s="48"/>
      <c r="C868" s="49"/>
      <c r="D868" s="50"/>
      <c r="E868" s="50"/>
      <c r="F868" s="50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2.75" customHeight="1">
      <c r="A869" s="48"/>
      <c r="B869" s="48"/>
      <c r="C869" s="49"/>
      <c r="D869" s="50"/>
      <c r="E869" s="50"/>
      <c r="F869" s="50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2.75" customHeight="1">
      <c r="A870" s="48"/>
      <c r="B870" s="48"/>
      <c r="C870" s="49"/>
      <c r="D870" s="50"/>
      <c r="E870" s="50"/>
      <c r="F870" s="50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2.75" customHeight="1">
      <c r="A871" s="48"/>
      <c r="B871" s="48"/>
      <c r="C871" s="49"/>
      <c r="D871" s="50"/>
      <c r="E871" s="50"/>
      <c r="F871" s="50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2.75" customHeight="1">
      <c r="A872" s="48"/>
      <c r="B872" s="48"/>
      <c r="C872" s="49"/>
      <c r="D872" s="50"/>
      <c r="E872" s="50"/>
      <c r="F872" s="50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2.75" customHeight="1">
      <c r="A873" s="48"/>
      <c r="B873" s="48"/>
      <c r="C873" s="49"/>
      <c r="D873" s="50"/>
      <c r="E873" s="50"/>
      <c r="F873" s="50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2.75" customHeight="1">
      <c r="A874" s="48"/>
      <c r="B874" s="48"/>
      <c r="C874" s="49"/>
      <c r="D874" s="50"/>
      <c r="E874" s="50"/>
      <c r="F874" s="50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2.75" customHeight="1">
      <c r="A875" s="48"/>
      <c r="B875" s="48"/>
      <c r="C875" s="49"/>
      <c r="D875" s="50"/>
      <c r="E875" s="50"/>
      <c r="F875" s="50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2.75" customHeight="1">
      <c r="A876" s="48"/>
      <c r="B876" s="48"/>
      <c r="C876" s="49"/>
      <c r="D876" s="50"/>
      <c r="E876" s="50"/>
      <c r="F876" s="50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2.75" customHeight="1">
      <c r="A877" s="48"/>
      <c r="B877" s="48"/>
      <c r="C877" s="49"/>
      <c r="D877" s="50"/>
      <c r="E877" s="50"/>
      <c r="F877" s="50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2.75" customHeight="1">
      <c r="A878" s="48"/>
      <c r="B878" s="48"/>
      <c r="C878" s="49"/>
      <c r="D878" s="50"/>
      <c r="E878" s="50"/>
      <c r="F878" s="50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2.75" customHeight="1">
      <c r="A879" s="48"/>
      <c r="B879" s="48"/>
      <c r="C879" s="49"/>
      <c r="D879" s="50"/>
      <c r="E879" s="50"/>
      <c r="F879" s="50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2.75" customHeight="1">
      <c r="A880" s="48"/>
      <c r="B880" s="48"/>
      <c r="C880" s="49"/>
      <c r="D880" s="50"/>
      <c r="E880" s="50"/>
      <c r="F880" s="50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2.75" customHeight="1">
      <c r="A881" s="48"/>
      <c r="B881" s="48"/>
      <c r="C881" s="49"/>
      <c r="D881" s="50"/>
      <c r="E881" s="50"/>
      <c r="F881" s="50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2.75" customHeight="1">
      <c r="A882" s="48"/>
      <c r="B882" s="48"/>
      <c r="C882" s="49"/>
      <c r="D882" s="50"/>
      <c r="E882" s="50"/>
      <c r="F882" s="50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2.75" customHeight="1">
      <c r="A883" s="48"/>
      <c r="B883" s="48"/>
      <c r="C883" s="49"/>
      <c r="D883" s="50"/>
      <c r="E883" s="50"/>
      <c r="F883" s="50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2.75" customHeight="1">
      <c r="A884" s="48"/>
      <c r="B884" s="48"/>
      <c r="C884" s="49"/>
      <c r="D884" s="50"/>
      <c r="E884" s="50"/>
      <c r="F884" s="50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2.75" customHeight="1">
      <c r="A885" s="48"/>
      <c r="B885" s="48"/>
      <c r="C885" s="49"/>
      <c r="D885" s="50"/>
      <c r="E885" s="50"/>
      <c r="F885" s="50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2.75" customHeight="1">
      <c r="A886" s="48"/>
      <c r="B886" s="48"/>
      <c r="C886" s="49"/>
      <c r="D886" s="50"/>
      <c r="E886" s="50"/>
      <c r="F886" s="50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2.75" customHeight="1">
      <c r="A887" s="48"/>
      <c r="B887" s="48"/>
      <c r="C887" s="49"/>
      <c r="D887" s="50"/>
      <c r="E887" s="50"/>
      <c r="F887" s="50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2.75" customHeight="1">
      <c r="A888" s="48"/>
      <c r="B888" s="48"/>
      <c r="C888" s="49"/>
      <c r="D888" s="50"/>
      <c r="E888" s="50"/>
      <c r="F888" s="50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2.75" customHeight="1">
      <c r="A889" s="48"/>
      <c r="B889" s="48"/>
      <c r="C889" s="49"/>
      <c r="D889" s="50"/>
      <c r="E889" s="50"/>
      <c r="F889" s="50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2.75" customHeight="1">
      <c r="A890" s="48"/>
      <c r="B890" s="48"/>
      <c r="C890" s="49"/>
      <c r="D890" s="50"/>
      <c r="E890" s="50"/>
      <c r="F890" s="50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2.75" customHeight="1">
      <c r="A891" s="48"/>
      <c r="B891" s="48"/>
      <c r="C891" s="49"/>
      <c r="D891" s="50"/>
      <c r="E891" s="50"/>
      <c r="F891" s="50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2.75" customHeight="1">
      <c r="A892" s="48"/>
      <c r="B892" s="48"/>
      <c r="C892" s="49"/>
      <c r="D892" s="50"/>
      <c r="E892" s="50"/>
      <c r="F892" s="50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2.75" customHeight="1">
      <c r="A893" s="48"/>
      <c r="B893" s="48"/>
      <c r="C893" s="49"/>
      <c r="D893" s="50"/>
      <c r="E893" s="50"/>
      <c r="F893" s="50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2.75" customHeight="1">
      <c r="A894" s="48"/>
      <c r="B894" s="48"/>
      <c r="C894" s="49"/>
      <c r="D894" s="50"/>
      <c r="E894" s="50"/>
      <c r="F894" s="50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2.75" customHeight="1">
      <c r="A895" s="48"/>
      <c r="B895" s="48"/>
      <c r="C895" s="49"/>
      <c r="D895" s="50"/>
      <c r="E895" s="50"/>
      <c r="F895" s="50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2.75" customHeight="1">
      <c r="A896" s="48"/>
      <c r="B896" s="48"/>
      <c r="C896" s="49"/>
      <c r="D896" s="50"/>
      <c r="E896" s="50"/>
      <c r="F896" s="50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2.75" customHeight="1">
      <c r="A897" s="48"/>
      <c r="B897" s="48"/>
      <c r="C897" s="49"/>
      <c r="D897" s="50"/>
      <c r="E897" s="50"/>
      <c r="F897" s="50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2.75" customHeight="1">
      <c r="A898" s="48"/>
      <c r="B898" s="48"/>
      <c r="C898" s="49"/>
      <c r="D898" s="50"/>
      <c r="E898" s="50"/>
      <c r="F898" s="50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2.75" customHeight="1">
      <c r="A899" s="48"/>
      <c r="B899" s="48"/>
      <c r="C899" s="49"/>
      <c r="D899" s="50"/>
      <c r="E899" s="50"/>
      <c r="F899" s="50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2.75" customHeight="1">
      <c r="A900" s="48"/>
      <c r="B900" s="48"/>
      <c r="C900" s="49"/>
      <c r="D900" s="50"/>
      <c r="E900" s="50"/>
      <c r="F900" s="50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2.75" customHeight="1">
      <c r="A901" s="48"/>
      <c r="B901" s="48"/>
      <c r="C901" s="49"/>
      <c r="D901" s="50"/>
      <c r="E901" s="50"/>
      <c r="F901" s="50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2.75" customHeight="1">
      <c r="A902" s="48"/>
      <c r="B902" s="48"/>
      <c r="C902" s="49"/>
      <c r="D902" s="50"/>
      <c r="E902" s="50"/>
      <c r="F902" s="50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2.75" customHeight="1">
      <c r="A903" s="48"/>
      <c r="B903" s="48"/>
      <c r="C903" s="49"/>
      <c r="D903" s="50"/>
      <c r="E903" s="50"/>
      <c r="F903" s="50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2.75" customHeight="1">
      <c r="A904" s="48"/>
      <c r="B904" s="48"/>
      <c r="C904" s="49"/>
      <c r="D904" s="50"/>
      <c r="E904" s="50"/>
      <c r="F904" s="50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2.75" customHeight="1">
      <c r="A905" s="48"/>
      <c r="B905" s="48"/>
      <c r="C905" s="49"/>
      <c r="D905" s="50"/>
      <c r="E905" s="50"/>
      <c r="F905" s="50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2.75" customHeight="1">
      <c r="A906" s="48"/>
      <c r="B906" s="48"/>
      <c r="C906" s="49"/>
      <c r="D906" s="50"/>
      <c r="E906" s="50"/>
      <c r="F906" s="50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2.75" customHeight="1">
      <c r="A907" s="48"/>
      <c r="B907" s="48"/>
      <c r="C907" s="49"/>
      <c r="D907" s="50"/>
      <c r="E907" s="50"/>
      <c r="F907" s="50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2.75" customHeight="1">
      <c r="A908" s="48"/>
      <c r="B908" s="48"/>
      <c r="C908" s="49"/>
      <c r="D908" s="50"/>
      <c r="E908" s="50"/>
      <c r="F908" s="50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2.75" customHeight="1">
      <c r="A909" s="48"/>
      <c r="B909" s="48"/>
      <c r="C909" s="49"/>
      <c r="D909" s="50"/>
      <c r="E909" s="50"/>
      <c r="F909" s="50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2.75" customHeight="1">
      <c r="A910" s="48"/>
      <c r="B910" s="48"/>
      <c r="C910" s="49"/>
      <c r="D910" s="50"/>
      <c r="E910" s="50"/>
      <c r="F910" s="50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2.75" customHeight="1">
      <c r="A911" s="48"/>
      <c r="B911" s="48"/>
      <c r="C911" s="49"/>
      <c r="D911" s="50"/>
      <c r="E911" s="50"/>
      <c r="F911" s="50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2.75" customHeight="1">
      <c r="A912" s="48"/>
      <c r="B912" s="48"/>
      <c r="C912" s="49"/>
      <c r="D912" s="50"/>
      <c r="E912" s="50"/>
      <c r="F912" s="50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2.75" customHeight="1">
      <c r="A913" s="48"/>
      <c r="B913" s="48"/>
      <c r="C913" s="49"/>
      <c r="D913" s="50"/>
      <c r="E913" s="50"/>
      <c r="F913" s="50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2.75" customHeight="1">
      <c r="A914" s="48"/>
      <c r="B914" s="48"/>
      <c r="C914" s="49"/>
      <c r="D914" s="50"/>
      <c r="E914" s="50"/>
      <c r="F914" s="50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2.75" customHeight="1">
      <c r="A915" s="48"/>
      <c r="B915" s="48"/>
      <c r="C915" s="49"/>
      <c r="D915" s="50"/>
      <c r="E915" s="50"/>
      <c r="F915" s="50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2.75" customHeight="1">
      <c r="A916" s="48"/>
      <c r="B916" s="48"/>
      <c r="C916" s="49"/>
      <c r="D916" s="50"/>
      <c r="E916" s="50"/>
      <c r="F916" s="50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2.75" customHeight="1">
      <c r="A917" s="48"/>
      <c r="B917" s="48"/>
      <c r="C917" s="49"/>
      <c r="D917" s="50"/>
      <c r="E917" s="50"/>
      <c r="F917" s="50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2.75" customHeight="1">
      <c r="A918" s="48"/>
      <c r="B918" s="48"/>
      <c r="C918" s="49"/>
      <c r="D918" s="50"/>
      <c r="E918" s="50"/>
      <c r="F918" s="50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2.75" customHeight="1">
      <c r="A919" s="48"/>
      <c r="B919" s="48"/>
      <c r="C919" s="49"/>
      <c r="D919" s="50"/>
      <c r="E919" s="50"/>
      <c r="F919" s="50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2.75" customHeight="1">
      <c r="A920" s="48"/>
      <c r="B920" s="48"/>
      <c r="C920" s="49"/>
      <c r="D920" s="50"/>
      <c r="E920" s="50"/>
      <c r="F920" s="50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2.75" customHeight="1">
      <c r="A921" s="48"/>
      <c r="B921" s="48"/>
      <c r="C921" s="49"/>
      <c r="D921" s="50"/>
      <c r="E921" s="50"/>
      <c r="F921" s="50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2.75" customHeight="1">
      <c r="A922" s="48"/>
      <c r="B922" s="48"/>
      <c r="C922" s="49"/>
      <c r="D922" s="50"/>
      <c r="E922" s="50"/>
      <c r="F922" s="50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2.75" customHeight="1">
      <c r="A923" s="48"/>
      <c r="B923" s="48"/>
      <c r="C923" s="49"/>
      <c r="D923" s="50"/>
      <c r="E923" s="50"/>
      <c r="F923" s="50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2.75" customHeight="1">
      <c r="A924" s="48"/>
      <c r="B924" s="48"/>
      <c r="C924" s="49"/>
      <c r="D924" s="50"/>
      <c r="E924" s="50"/>
      <c r="F924" s="50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2.75" customHeight="1">
      <c r="A925" s="48"/>
      <c r="B925" s="48"/>
      <c r="C925" s="49"/>
      <c r="D925" s="50"/>
      <c r="E925" s="50"/>
      <c r="F925" s="50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2.75" customHeight="1">
      <c r="A926" s="48"/>
      <c r="B926" s="48"/>
      <c r="C926" s="49"/>
      <c r="D926" s="50"/>
      <c r="E926" s="50"/>
      <c r="F926" s="50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2.75" customHeight="1">
      <c r="A927" s="48"/>
      <c r="B927" s="48"/>
      <c r="C927" s="49"/>
      <c r="D927" s="50"/>
      <c r="E927" s="50"/>
      <c r="F927" s="50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2.75" customHeight="1">
      <c r="A928" s="48"/>
      <c r="B928" s="48"/>
      <c r="C928" s="49"/>
      <c r="D928" s="50"/>
      <c r="E928" s="50"/>
      <c r="F928" s="50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2.75" customHeight="1">
      <c r="A929" s="48"/>
      <c r="B929" s="48"/>
      <c r="C929" s="49"/>
      <c r="D929" s="50"/>
      <c r="E929" s="50"/>
      <c r="F929" s="50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2.75" customHeight="1">
      <c r="A930" s="48"/>
      <c r="B930" s="48"/>
      <c r="C930" s="49"/>
      <c r="D930" s="50"/>
      <c r="E930" s="50"/>
      <c r="F930" s="50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2.75" customHeight="1">
      <c r="A931" s="48"/>
      <c r="B931" s="48"/>
      <c r="C931" s="49"/>
      <c r="D931" s="50"/>
      <c r="E931" s="50"/>
      <c r="F931" s="50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2.75" customHeight="1">
      <c r="A932" s="48"/>
      <c r="B932" s="48"/>
      <c r="C932" s="49"/>
      <c r="D932" s="50"/>
      <c r="E932" s="50"/>
      <c r="F932" s="50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2.75" customHeight="1">
      <c r="A933" s="48"/>
      <c r="B933" s="48"/>
      <c r="C933" s="49"/>
      <c r="D933" s="50"/>
      <c r="E933" s="50"/>
      <c r="F933" s="50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2.75" customHeight="1">
      <c r="A934" s="48"/>
      <c r="B934" s="48"/>
      <c r="C934" s="49"/>
      <c r="D934" s="50"/>
      <c r="E934" s="50"/>
      <c r="F934" s="50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2.75" customHeight="1">
      <c r="A935" s="48"/>
      <c r="B935" s="48"/>
      <c r="C935" s="49"/>
      <c r="D935" s="50"/>
      <c r="E935" s="50"/>
      <c r="F935" s="50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2.75" customHeight="1">
      <c r="A936" s="48"/>
      <c r="B936" s="48"/>
      <c r="C936" s="49"/>
      <c r="D936" s="50"/>
      <c r="E936" s="50"/>
      <c r="F936" s="50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2.75" customHeight="1">
      <c r="A937" s="48"/>
      <c r="B937" s="48"/>
      <c r="C937" s="49"/>
      <c r="D937" s="50"/>
      <c r="E937" s="50"/>
      <c r="F937" s="50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2.75" customHeight="1">
      <c r="A938" s="48"/>
      <c r="B938" s="48"/>
      <c r="C938" s="49"/>
      <c r="D938" s="50"/>
      <c r="E938" s="50"/>
      <c r="F938" s="50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2.75" customHeight="1">
      <c r="A939" s="48"/>
      <c r="B939" s="48"/>
      <c r="C939" s="49"/>
      <c r="D939" s="50"/>
      <c r="E939" s="50"/>
      <c r="F939" s="50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2.75" customHeight="1">
      <c r="A940" s="48"/>
      <c r="B940" s="48"/>
      <c r="C940" s="49"/>
      <c r="D940" s="50"/>
      <c r="E940" s="50"/>
      <c r="F940" s="50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2.75" customHeight="1">
      <c r="A941" s="48"/>
      <c r="B941" s="48"/>
      <c r="C941" s="49"/>
      <c r="D941" s="50"/>
      <c r="E941" s="50"/>
      <c r="F941" s="50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2.75" customHeight="1">
      <c r="A942" s="48"/>
      <c r="B942" s="48"/>
      <c r="C942" s="49"/>
      <c r="D942" s="50"/>
      <c r="E942" s="50"/>
      <c r="F942" s="50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2.75" customHeight="1">
      <c r="A943" s="48"/>
      <c r="B943" s="48"/>
      <c r="C943" s="49"/>
      <c r="D943" s="50"/>
      <c r="E943" s="50"/>
      <c r="F943" s="50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2.75" customHeight="1">
      <c r="A944" s="48"/>
      <c r="B944" s="48"/>
      <c r="C944" s="49"/>
      <c r="D944" s="50"/>
      <c r="E944" s="50"/>
      <c r="F944" s="50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2.75" customHeight="1">
      <c r="A945" s="48"/>
      <c r="B945" s="48"/>
      <c r="C945" s="49"/>
      <c r="D945" s="50"/>
      <c r="E945" s="50"/>
      <c r="F945" s="50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2.75" customHeight="1">
      <c r="A946" s="48"/>
      <c r="B946" s="48"/>
      <c r="C946" s="49"/>
      <c r="D946" s="50"/>
      <c r="E946" s="50"/>
      <c r="F946" s="50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2.75" customHeight="1">
      <c r="A947" s="48"/>
      <c r="B947" s="48"/>
      <c r="C947" s="49"/>
      <c r="D947" s="50"/>
      <c r="E947" s="50"/>
      <c r="F947" s="50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2.75" customHeight="1">
      <c r="A948" s="48"/>
      <c r="B948" s="48"/>
      <c r="C948" s="49"/>
      <c r="D948" s="50"/>
      <c r="E948" s="50"/>
      <c r="F948" s="50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2.75" customHeight="1">
      <c r="A949" s="48"/>
      <c r="B949" s="48"/>
      <c r="C949" s="49"/>
      <c r="D949" s="50"/>
      <c r="E949" s="50"/>
      <c r="F949" s="50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2.75" customHeight="1">
      <c r="A950" s="48"/>
      <c r="B950" s="48"/>
      <c r="C950" s="49"/>
      <c r="D950" s="50"/>
      <c r="E950" s="50"/>
      <c r="F950" s="50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2.75" customHeight="1">
      <c r="A951" s="48"/>
      <c r="B951" s="48"/>
      <c r="C951" s="49"/>
      <c r="D951" s="50"/>
      <c r="E951" s="50"/>
      <c r="F951" s="50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2.75" customHeight="1">
      <c r="A952" s="48"/>
      <c r="B952" s="48"/>
      <c r="C952" s="49"/>
      <c r="D952" s="50"/>
      <c r="E952" s="50"/>
      <c r="F952" s="50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2.75" customHeight="1">
      <c r="A953" s="48"/>
      <c r="B953" s="48"/>
      <c r="C953" s="49"/>
      <c r="D953" s="50"/>
      <c r="E953" s="50"/>
      <c r="F953" s="50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2.75" customHeight="1">
      <c r="A954" s="48"/>
      <c r="B954" s="48"/>
      <c r="C954" s="49"/>
      <c r="D954" s="50"/>
      <c r="E954" s="50"/>
      <c r="F954" s="50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2.75" customHeight="1">
      <c r="A955" s="48"/>
      <c r="B955" s="48"/>
      <c r="C955" s="49"/>
      <c r="D955" s="50"/>
      <c r="E955" s="50"/>
      <c r="F955" s="50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2.75" customHeight="1">
      <c r="A956" s="48"/>
      <c r="B956" s="48"/>
      <c r="C956" s="49"/>
      <c r="D956" s="50"/>
      <c r="E956" s="50"/>
      <c r="F956" s="50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2.75" customHeight="1">
      <c r="A957" s="48"/>
      <c r="B957" s="48"/>
      <c r="C957" s="49"/>
      <c r="D957" s="50"/>
      <c r="E957" s="50"/>
      <c r="F957" s="50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2.75" customHeight="1">
      <c r="A958" s="48"/>
      <c r="B958" s="48"/>
      <c r="C958" s="49"/>
      <c r="D958" s="50"/>
      <c r="E958" s="50"/>
      <c r="F958" s="50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2.75" customHeight="1">
      <c r="A959" s="48"/>
      <c r="B959" s="48"/>
      <c r="C959" s="49"/>
      <c r="D959" s="50"/>
      <c r="E959" s="50"/>
      <c r="F959" s="50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2.75" customHeight="1">
      <c r="A960" s="48"/>
      <c r="B960" s="48"/>
      <c r="C960" s="49"/>
      <c r="D960" s="50"/>
      <c r="E960" s="50"/>
      <c r="F960" s="50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2.75" customHeight="1">
      <c r="A961" s="48"/>
      <c r="B961" s="48"/>
      <c r="C961" s="49"/>
      <c r="D961" s="50"/>
      <c r="E961" s="50"/>
      <c r="F961" s="50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2.75" customHeight="1">
      <c r="A962" s="48"/>
      <c r="B962" s="48"/>
      <c r="C962" s="49"/>
      <c r="D962" s="50"/>
      <c r="E962" s="50"/>
      <c r="F962" s="50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2.75" customHeight="1">
      <c r="A963" s="48"/>
      <c r="B963" s="48"/>
      <c r="C963" s="49"/>
      <c r="D963" s="50"/>
      <c r="E963" s="50"/>
      <c r="F963" s="50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2.75" customHeight="1">
      <c r="A964" s="48"/>
      <c r="B964" s="48"/>
      <c r="C964" s="49"/>
      <c r="D964" s="50"/>
      <c r="E964" s="50"/>
      <c r="F964" s="50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2.75" customHeight="1">
      <c r="A965" s="48"/>
      <c r="B965" s="48"/>
      <c r="C965" s="49"/>
      <c r="D965" s="50"/>
      <c r="E965" s="50"/>
      <c r="F965" s="50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2.75" customHeight="1">
      <c r="A966" s="48"/>
      <c r="B966" s="48"/>
      <c r="C966" s="49"/>
      <c r="D966" s="50"/>
      <c r="E966" s="50"/>
      <c r="F966" s="50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2.75" customHeight="1">
      <c r="A967" s="48"/>
      <c r="B967" s="48"/>
      <c r="C967" s="49"/>
      <c r="D967" s="50"/>
      <c r="E967" s="50"/>
      <c r="F967" s="50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2.75" customHeight="1">
      <c r="A968" s="48"/>
      <c r="B968" s="48"/>
      <c r="C968" s="49"/>
      <c r="D968" s="50"/>
      <c r="E968" s="50"/>
      <c r="F968" s="50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2.75" customHeight="1">
      <c r="A969" s="48"/>
      <c r="B969" s="48"/>
      <c r="C969" s="49"/>
      <c r="D969" s="50"/>
      <c r="E969" s="50"/>
      <c r="F969" s="50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2.75" customHeight="1">
      <c r="A970" s="48"/>
      <c r="B970" s="48"/>
      <c r="C970" s="49"/>
      <c r="D970" s="50"/>
      <c r="E970" s="50"/>
      <c r="F970" s="50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2.75" customHeight="1">
      <c r="A971" s="48"/>
      <c r="B971" s="48"/>
      <c r="C971" s="49"/>
      <c r="D971" s="50"/>
      <c r="E971" s="50"/>
      <c r="F971" s="50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2.75" customHeight="1">
      <c r="A972" s="48"/>
      <c r="B972" s="48"/>
      <c r="C972" s="49"/>
      <c r="D972" s="50"/>
      <c r="E972" s="50"/>
      <c r="F972" s="50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2.75" customHeight="1">
      <c r="A973" s="48"/>
      <c r="B973" s="48"/>
      <c r="C973" s="49"/>
      <c r="D973" s="50"/>
      <c r="E973" s="50"/>
      <c r="F973" s="50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2.75" customHeight="1">
      <c r="A974" s="48"/>
      <c r="B974" s="48"/>
      <c r="C974" s="49"/>
      <c r="D974" s="50"/>
      <c r="E974" s="50"/>
      <c r="F974" s="50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2.75" customHeight="1">
      <c r="A975" s="48"/>
      <c r="B975" s="48"/>
      <c r="C975" s="49"/>
      <c r="D975" s="50"/>
      <c r="E975" s="50"/>
      <c r="F975" s="50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2.75" customHeight="1">
      <c r="A976" s="48"/>
      <c r="B976" s="48"/>
      <c r="C976" s="49"/>
      <c r="D976" s="50"/>
      <c r="E976" s="50"/>
      <c r="F976" s="50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2.75" customHeight="1">
      <c r="A977" s="48"/>
      <c r="B977" s="48"/>
      <c r="C977" s="49"/>
      <c r="D977" s="50"/>
      <c r="E977" s="50"/>
      <c r="F977" s="50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2.75" customHeight="1">
      <c r="A978" s="48"/>
      <c r="B978" s="48"/>
      <c r="C978" s="49"/>
      <c r="D978" s="50"/>
      <c r="E978" s="50"/>
      <c r="F978" s="50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2.75" customHeight="1">
      <c r="A979" s="48"/>
      <c r="B979" s="48"/>
      <c r="C979" s="49"/>
      <c r="D979" s="50"/>
      <c r="E979" s="50"/>
      <c r="F979" s="50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2.75" customHeight="1">
      <c r="A980" s="48"/>
      <c r="B980" s="48"/>
      <c r="C980" s="49"/>
      <c r="D980" s="50"/>
      <c r="E980" s="50"/>
      <c r="F980" s="50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2.75" customHeight="1">
      <c r="A981" s="48"/>
      <c r="B981" s="48"/>
      <c r="C981" s="49"/>
      <c r="D981" s="50"/>
      <c r="E981" s="50"/>
      <c r="F981" s="50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2.75" customHeight="1">
      <c r="A982" s="48"/>
      <c r="B982" s="48"/>
      <c r="C982" s="49"/>
      <c r="D982" s="50"/>
      <c r="E982" s="50"/>
      <c r="F982" s="50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2.75" customHeight="1">
      <c r="A983" s="48"/>
      <c r="B983" s="48"/>
      <c r="C983" s="49"/>
      <c r="D983" s="50"/>
      <c r="E983" s="50"/>
      <c r="F983" s="50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2.75" customHeight="1">
      <c r="A984" s="48"/>
      <c r="B984" s="48"/>
      <c r="C984" s="49"/>
      <c r="D984" s="50"/>
      <c r="E984" s="50"/>
      <c r="F984" s="50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2.75" customHeight="1">
      <c r="A985" s="48"/>
      <c r="B985" s="48"/>
      <c r="C985" s="49"/>
      <c r="D985" s="50"/>
      <c r="E985" s="50"/>
      <c r="F985" s="50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2.75" customHeight="1">
      <c r="A986" s="48"/>
      <c r="B986" s="48"/>
      <c r="C986" s="49"/>
      <c r="D986" s="50"/>
      <c r="E986" s="50"/>
      <c r="F986" s="50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2.75" customHeight="1">
      <c r="A987" s="48"/>
      <c r="B987" s="48"/>
      <c r="C987" s="49"/>
      <c r="D987" s="50"/>
      <c r="E987" s="50"/>
      <c r="F987" s="50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2.75" customHeight="1">
      <c r="A988" s="48"/>
      <c r="B988" s="48"/>
      <c r="C988" s="49"/>
      <c r="D988" s="50"/>
      <c r="E988" s="50"/>
      <c r="F988" s="50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2.75" customHeight="1">
      <c r="A989" s="48"/>
      <c r="B989" s="48"/>
      <c r="C989" s="49"/>
      <c r="D989" s="50"/>
      <c r="E989" s="50"/>
      <c r="F989" s="50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2.75" customHeight="1">
      <c r="A990" s="48"/>
      <c r="B990" s="48"/>
      <c r="C990" s="49"/>
      <c r="D990" s="50"/>
      <c r="E990" s="50"/>
      <c r="F990" s="50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2.75" customHeight="1">
      <c r="A991" s="48"/>
      <c r="B991" s="48"/>
      <c r="C991" s="49"/>
      <c r="D991" s="50"/>
      <c r="E991" s="50"/>
      <c r="F991" s="50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2.75" customHeight="1">
      <c r="A992" s="48"/>
      <c r="B992" s="48"/>
      <c r="C992" s="49"/>
      <c r="D992" s="50"/>
      <c r="E992" s="50"/>
      <c r="F992" s="50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2.75" customHeight="1">
      <c r="A993" s="48"/>
      <c r="B993" s="48"/>
      <c r="C993" s="49"/>
      <c r="D993" s="50"/>
      <c r="E993" s="50"/>
      <c r="F993" s="50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2.75" customHeight="1">
      <c r="A994" s="48"/>
      <c r="B994" s="48"/>
      <c r="C994" s="49"/>
      <c r="D994" s="50"/>
      <c r="E994" s="50"/>
      <c r="F994" s="50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2.75" customHeight="1">
      <c r="A995" s="48"/>
      <c r="B995" s="48"/>
      <c r="C995" s="49"/>
      <c r="D995" s="50"/>
      <c r="E995" s="50"/>
      <c r="F995" s="50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2.75" customHeight="1">
      <c r="A996" s="48"/>
      <c r="B996" s="48"/>
      <c r="C996" s="49"/>
      <c r="D996" s="50"/>
      <c r="E996" s="50"/>
      <c r="F996" s="50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2.75" customHeight="1">
      <c r="A997" s="48"/>
      <c r="B997" s="48"/>
      <c r="C997" s="49"/>
      <c r="D997" s="50"/>
      <c r="E997" s="50"/>
      <c r="F997" s="50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2.75" customHeight="1">
      <c r="A998" s="48"/>
      <c r="B998" s="48"/>
      <c r="C998" s="49"/>
      <c r="D998" s="50"/>
      <c r="E998" s="50"/>
      <c r="F998" s="50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2.75" customHeight="1">
      <c r="A999" s="48"/>
      <c r="B999" s="48"/>
      <c r="C999" s="49"/>
      <c r="D999" s="50"/>
      <c r="E999" s="50"/>
      <c r="F999" s="50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2.75" customHeight="1">
      <c r="A1000" s="48"/>
      <c r="B1000" s="48"/>
      <c r="C1000" s="49"/>
      <c r="D1000" s="50"/>
      <c r="E1000" s="50"/>
      <c r="F1000" s="50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6">
    <mergeCell ref="A4:B4"/>
    <mergeCell ref="C4:F4"/>
    <mergeCell ref="A5:B5"/>
    <mergeCell ref="C5:F5"/>
    <mergeCell ref="A6:B6"/>
    <mergeCell ref="C6:F6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26.63"/>
    <col customWidth="1" min="3" max="3" width="12.13"/>
    <col customWidth="1" min="4" max="4" width="9.63"/>
    <col customWidth="1" min="5" max="5" width="9.75"/>
    <col customWidth="1" min="6" max="8" width="5.13"/>
    <col customWidth="1" min="9" max="9" width="21.0"/>
    <col customWidth="1" min="10" max="26" width="8.0"/>
  </cols>
  <sheetData>
    <row r="1" ht="12.7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25.5" customHeight="1">
      <c r="A2" s="80" t="s">
        <v>75</v>
      </c>
      <c r="B2" s="81"/>
      <c r="C2" s="81"/>
      <c r="D2" s="81"/>
      <c r="E2" s="81"/>
      <c r="F2" s="81"/>
      <c r="G2" s="81"/>
      <c r="H2" s="81"/>
      <c r="I2" s="82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4.25" customHeight="1">
      <c r="A3" s="83"/>
      <c r="B3" s="21"/>
      <c r="C3" s="21"/>
      <c r="D3" s="21"/>
      <c r="E3" s="21"/>
      <c r="F3" s="21"/>
      <c r="G3" s="21"/>
      <c r="H3" s="21"/>
      <c r="I3" s="84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3.5" customHeight="1">
      <c r="A4" s="85" t="s">
        <v>45</v>
      </c>
      <c r="B4" s="56" t="str">
        <f>Cover!B4</f>
        <v>&lt;Project Name&gt;</v>
      </c>
      <c r="C4" s="17"/>
      <c r="D4" s="86" t="s">
        <v>47</v>
      </c>
      <c r="E4" s="17"/>
      <c r="F4" s="87"/>
      <c r="G4" s="16"/>
      <c r="H4" s="16"/>
      <c r="I4" s="17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3.5" customHeight="1">
      <c r="A5" s="85" t="s">
        <v>48</v>
      </c>
      <c r="B5" s="56" t="str">
        <f>Cover!B5</f>
        <v>&lt;Project Code&gt;</v>
      </c>
      <c r="C5" s="17"/>
      <c r="D5" s="86" t="s">
        <v>76</v>
      </c>
      <c r="E5" s="17"/>
      <c r="F5" s="87"/>
      <c r="G5" s="16"/>
      <c r="H5" s="16"/>
      <c r="I5" s="17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2.75" customHeight="1">
      <c r="A6" s="26" t="s">
        <v>52</v>
      </c>
      <c r="B6" s="56" t="str">
        <f>B5&amp;"_"&amp;"Test Report"&amp;"_"&amp;"vx.x"</f>
        <v>&lt;Project Code&gt;_Test Report_vx.x</v>
      </c>
      <c r="C6" s="17"/>
      <c r="D6" s="86" t="s">
        <v>50</v>
      </c>
      <c r="E6" s="17"/>
      <c r="F6" s="88" t="s">
        <v>51</v>
      </c>
      <c r="G6" s="16"/>
      <c r="H6" s="16"/>
      <c r="I6" s="17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26" t="s">
        <v>77</v>
      </c>
      <c r="B7" s="89" t="s">
        <v>78</v>
      </c>
      <c r="C7" s="16"/>
      <c r="D7" s="16"/>
      <c r="E7" s="16"/>
      <c r="F7" s="16"/>
      <c r="G7" s="16"/>
      <c r="H7" s="16"/>
      <c r="I7" s="17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25" customHeight="1">
      <c r="A8" s="90"/>
      <c r="B8" s="91"/>
      <c r="C8" s="21"/>
      <c r="D8" s="21"/>
      <c r="E8" s="21"/>
      <c r="F8" s="21"/>
      <c r="G8" s="21"/>
      <c r="H8" s="21"/>
      <c r="I8" s="84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2.75" customHeight="1">
      <c r="A9" s="90"/>
      <c r="B9" s="91"/>
      <c r="C9" s="21"/>
      <c r="D9" s="21"/>
      <c r="E9" s="21"/>
      <c r="F9" s="21"/>
      <c r="G9" s="21"/>
      <c r="H9" s="21"/>
      <c r="I9" s="84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2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25" customHeight="1">
      <c r="A11" s="92" t="s">
        <v>65</v>
      </c>
      <c r="B11" s="93" t="s">
        <v>79</v>
      </c>
      <c r="C11" s="94" t="s">
        <v>80</v>
      </c>
      <c r="D11" s="93" t="s">
        <v>81</v>
      </c>
      <c r="E11" s="95" t="s">
        <v>82</v>
      </c>
      <c r="F11" s="95" t="s">
        <v>83</v>
      </c>
      <c r="G11" s="95" t="s">
        <v>84</v>
      </c>
      <c r="H11" s="95" t="s">
        <v>85</v>
      </c>
      <c r="I11" s="96" t="s">
        <v>86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2.75" customHeight="1">
      <c r="A12" s="97">
        <v>1.0</v>
      </c>
      <c r="B12" s="71" t="s">
        <v>72</v>
      </c>
      <c r="C12" s="98">
        <f>methodName1!A5</f>
        <v>0</v>
      </c>
      <c r="D12" s="98">
        <f>methodName1!C5</f>
        <v>0</v>
      </c>
      <c r="E12" s="98">
        <f>methodName1!F5</f>
        <v>15</v>
      </c>
      <c r="F12" s="99">
        <f>methodName1!L5</f>
        <v>0</v>
      </c>
      <c r="G12" s="98">
        <f>methodName1!M5</f>
        <v>0</v>
      </c>
      <c r="H12" s="98">
        <f>methodName1!N5</f>
        <v>0</v>
      </c>
      <c r="I12" s="98">
        <f>methodName1!O5</f>
        <v>15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2.75" customHeight="1">
      <c r="A13" s="97">
        <v>2.0</v>
      </c>
      <c r="B13" s="71" t="s">
        <v>74</v>
      </c>
      <c r="C13" s="98">
        <f>methodName2!A5</f>
        <v>12</v>
      </c>
      <c r="D13" s="98">
        <f>methodName2!C5</f>
        <v>3</v>
      </c>
      <c r="E13" s="98">
        <f>methodName2!F5</f>
        <v>0</v>
      </c>
      <c r="F13" s="99">
        <f>methodName2!L5</f>
        <v>12</v>
      </c>
      <c r="G13" s="98">
        <f>methodName2!M5</f>
        <v>2</v>
      </c>
      <c r="H13" s="98">
        <f>methodName2!N5</f>
        <v>1</v>
      </c>
      <c r="I13" s="98">
        <f>methodName2!O5</f>
        <v>15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3.5" customHeight="1">
      <c r="A14" s="97"/>
      <c r="B14" s="100"/>
      <c r="C14" s="98"/>
      <c r="D14" s="98"/>
      <c r="E14" s="98"/>
      <c r="F14" s="99"/>
      <c r="G14" s="98"/>
      <c r="H14" s="98"/>
      <c r="I14" s="98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3.5" customHeight="1">
      <c r="A15" s="97"/>
      <c r="B15" s="100"/>
      <c r="C15" s="98"/>
      <c r="D15" s="98"/>
      <c r="E15" s="98"/>
      <c r="F15" s="99"/>
      <c r="G15" s="98"/>
      <c r="H15" s="98"/>
      <c r="I15" s="98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3.5" customHeight="1">
      <c r="A16" s="101"/>
      <c r="B16" s="102" t="s">
        <v>87</v>
      </c>
      <c r="C16" s="103">
        <f t="shared" ref="C16:I16" si="1">SUM(C10:C15)</f>
        <v>12</v>
      </c>
      <c r="D16" s="103">
        <f t="shared" si="1"/>
        <v>3</v>
      </c>
      <c r="E16" s="103">
        <f t="shared" si="1"/>
        <v>15</v>
      </c>
      <c r="F16" s="103">
        <f t="shared" si="1"/>
        <v>12</v>
      </c>
      <c r="G16" s="103">
        <f t="shared" si="1"/>
        <v>2</v>
      </c>
      <c r="H16" s="103">
        <f t="shared" si="1"/>
        <v>1</v>
      </c>
      <c r="I16" s="103">
        <f t="shared" si="1"/>
        <v>30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2.75" customHeight="1">
      <c r="A17" s="104"/>
      <c r="B17" s="21"/>
      <c r="C17" s="105"/>
      <c r="D17" s="106"/>
      <c r="E17" s="106"/>
      <c r="F17" s="106"/>
      <c r="G17" s="106"/>
      <c r="H17" s="106"/>
      <c r="I17" s="106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2.75" customHeight="1">
      <c r="A18" s="21"/>
      <c r="B18" s="107" t="s">
        <v>88</v>
      </c>
      <c r="C18" s="21"/>
      <c r="D18" s="108">
        <f>(C16+D16)*100/(I16)</f>
        <v>50</v>
      </c>
      <c r="E18" s="21" t="s">
        <v>89</v>
      </c>
      <c r="F18" s="21"/>
      <c r="G18" s="21"/>
      <c r="H18" s="21"/>
      <c r="I18" s="109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2.75" customHeight="1">
      <c r="A19" s="21"/>
      <c r="B19" s="107" t="s">
        <v>90</v>
      </c>
      <c r="C19" s="21"/>
      <c r="D19" s="108">
        <f>C16*100/(I16)</f>
        <v>40</v>
      </c>
      <c r="E19" s="21" t="s">
        <v>89</v>
      </c>
      <c r="F19" s="21"/>
      <c r="G19" s="21"/>
      <c r="H19" s="21"/>
      <c r="I19" s="109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2.75" customHeight="1">
      <c r="A20" s="21"/>
      <c r="B20" s="107" t="s">
        <v>91</v>
      </c>
      <c r="C20" s="21"/>
      <c r="D20" s="108">
        <f>F16*100/I16</f>
        <v>40</v>
      </c>
      <c r="E20" s="21" t="s">
        <v>89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2.75" customHeight="1">
      <c r="A21" s="21"/>
      <c r="B21" s="107" t="s">
        <v>92</v>
      </c>
      <c r="C21" s="21"/>
      <c r="D21" s="108">
        <f>G16*100/I16</f>
        <v>6.666666667</v>
      </c>
      <c r="E21" s="21" t="s">
        <v>89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2.75" customHeight="1">
      <c r="A22" s="21"/>
      <c r="B22" s="107" t="s">
        <v>93</v>
      </c>
      <c r="C22" s="21"/>
      <c r="D22" s="108">
        <f>H16*100/I16</f>
        <v>3.333333333</v>
      </c>
      <c r="E22" s="21" t="s">
        <v>89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2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2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2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2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2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2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2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2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2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2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2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2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2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2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2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2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2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2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2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2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2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2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2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2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2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2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2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2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2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2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2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2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2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2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2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2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2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2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2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2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2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2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2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2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2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2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2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2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2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2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2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2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2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2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2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2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2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2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2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2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2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2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2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2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2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2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2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2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2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2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2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2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2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2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2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2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2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2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2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2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2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2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2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2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2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2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2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2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2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2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2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2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2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2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2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2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2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2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2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2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2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2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2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2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2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2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2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2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2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2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2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2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2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2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2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2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2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2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2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2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2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2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2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2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2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2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2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2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2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2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2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2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2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2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2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2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2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2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2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2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2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2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2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2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2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2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2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2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2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2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2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2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2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2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2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2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2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2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2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2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2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2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2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2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2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2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2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2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2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2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2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2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2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2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2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2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2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2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2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2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2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2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2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2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2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2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2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2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2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2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2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2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2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2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2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2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2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2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2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2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2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2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2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2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2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2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2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2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2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2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2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2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2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2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2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2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2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2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2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2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2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2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2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2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2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2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2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2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2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2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2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2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2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2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2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2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2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2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2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2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2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2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2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2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2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2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2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2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2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2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2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2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2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2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2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2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2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2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2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2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2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2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2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2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2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2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2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2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2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2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2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2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2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2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2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2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2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2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2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2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2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2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2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2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2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2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2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2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2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2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2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2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2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2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2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2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2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2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2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2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2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2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2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2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2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2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2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2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2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2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2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2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2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2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2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2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2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2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2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2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2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2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2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2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2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2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2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2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2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2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2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2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2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2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2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2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2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2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2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2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2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2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2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2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2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2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2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2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2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2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2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2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2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2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2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2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2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2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2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2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2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2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2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2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2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2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2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2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2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2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2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2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2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2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2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2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2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2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2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2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2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2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2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2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2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2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2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2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2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2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2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2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2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2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2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2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2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2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2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2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2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2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2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2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2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2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2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2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2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2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2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2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2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2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2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2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2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2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2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2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2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2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2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2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2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2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2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2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2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2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2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2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2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2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2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2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2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2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2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2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2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2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2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2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2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2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2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2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2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2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2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2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2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2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2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2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2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2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2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2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2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2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2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2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2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2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2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2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2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2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2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2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2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2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2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2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2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2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2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2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2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2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2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2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2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2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2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2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2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2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2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2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2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2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2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2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2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2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2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2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2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2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2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2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2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2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2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2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2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2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2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2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2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2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2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2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2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2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2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2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2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2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2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2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2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2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2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2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2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2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2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2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2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2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2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2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2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2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2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2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2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2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2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2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2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2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2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2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2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2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2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2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2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2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2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2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2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2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2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2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2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2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2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2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2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2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2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2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2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2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2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2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2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2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2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2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2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2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2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2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2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2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2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2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2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2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2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2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2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2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2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2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2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2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2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2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2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2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2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2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2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2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2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2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2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2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2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2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2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2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2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2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2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2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2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2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2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2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2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2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2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2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2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2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2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2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2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2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2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2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2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2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2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2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2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2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2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2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2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2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2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2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2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2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2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2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2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2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2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2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2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2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2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2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2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2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2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2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2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2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2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2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2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2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2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2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2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2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2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2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2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2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2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2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2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2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2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2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2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2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2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2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2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2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2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2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2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2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2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2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2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2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2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2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2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2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2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2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2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2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2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2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2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2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2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2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2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2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2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2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2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2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2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2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2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2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2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2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2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2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2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2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2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2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2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2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2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2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2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2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2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2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2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2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2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2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2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2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2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2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2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2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2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2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2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2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2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2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2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2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2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2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2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2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2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2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2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2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2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2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2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2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2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2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2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2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2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2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2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2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2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2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2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2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2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2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2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2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2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2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2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2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2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2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2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2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2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2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2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2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2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2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2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2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2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2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2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2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2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2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2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2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2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2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2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2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2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2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2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2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2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2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2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2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2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2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2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2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2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2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2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2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2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2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2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2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2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2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2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2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2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2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2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2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2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2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2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2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2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2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2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2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2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2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2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2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2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2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2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2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2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2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2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2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2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2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2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2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2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2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2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2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2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2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2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2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2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2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2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2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2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2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2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2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2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2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2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2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2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2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2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2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2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2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2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2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2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2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2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2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2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2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2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2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2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2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2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2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2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2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2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2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2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2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2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2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2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2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2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2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2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2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2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2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2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2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2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2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2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2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2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2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2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2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2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2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2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2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2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2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2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2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2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2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2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2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2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2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2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2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2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2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2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2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2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2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2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2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2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2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2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2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2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2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2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2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2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2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2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2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2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2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2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2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2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2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2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2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2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2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2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2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2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2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2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2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2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2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1">
    <mergeCell ref="B6:C6"/>
    <mergeCell ref="D6:E6"/>
    <mergeCell ref="F6:I6"/>
    <mergeCell ref="B7:I7"/>
    <mergeCell ref="A2:I2"/>
    <mergeCell ref="B4:C4"/>
    <mergeCell ref="D4:E4"/>
    <mergeCell ref="F4:I4"/>
    <mergeCell ref="B5:C5"/>
    <mergeCell ref="D5:E5"/>
    <mergeCell ref="F5:I5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88"/>
    <col customWidth="1" hidden="1" min="5" max="5" width="1.75"/>
    <col customWidth="1" min="6" max="6" width="5.38"/>
    <col customWidth="1" min="7" max="7" width="4.63"/>
    <col customWidth="1" min="8" max="8" width="4.88"/>
    <col customWidth="1" min="9" max="9" width="3.88"/>
    <col customWidth="1" min="10" max="10" width="4.0"/>
    <col customWidth="1" min="11" max="11" width="5.25"/>
    <col customWidth="1" min="12" max="12" width="4.63"/>
    <col customWidth="1" min="13" max="13" width="5.38"/>
    <col customWidth="1" min="14" max="14" width="4.88"/>
    <col customWidth="1" min="15" max="15" width="5.0"/>
    <col customWidth="1" min="16" max="16" width="4.88"/>
    <col customWidth="1" min="17" max="17" width="5.13"/>
    <col customWidth="1" min="18" max="18" width="5.38"/>
    <col customWidth="1" min="19" max="19" width="4.63"/>
    <col customWidth="1" min="20" max="20" width="5.13"/>
    <col customWidth="1" min="21" max="21" width="2.75"/>
    <col customWidth="1" min="22" max="23" width="9.0"/>
    <col customWidth="1" min="24" max="26" width="8.0"/>
  </cols>
  <sheetData>
    <row r="1" ht="13.5" customHeight="1">
      <c r="A1" s="110" t="s">
        <v>94</v>
      </c>
      <c r="B1" s="111"/>
      <c r="C1" s="112" t="s">
        <v>71</v>
      </c>
      <c r="D1" s="113"/>
      <c r="E1" s="114"/>
      <c r="F1" s="115" t="s">
        <v>95</v>
      </c>
      <c r="G1" s="116"/>
      <c r="H1" s="116"/>
      <c r="I1" s="116"/>
      <c r="J1" s="116"/>
      <c r="K1" s="117"/>
      <c r="L1" s="118" t="s">
        <v>72</v>
      </c>
      <c r="M1" s="113"/>
      <c r="N1" s="113"/>
      <c r="O1" s="113"/>
      <c r="P1" s="113"/>
      <c r="Q1" s="113"/>
      <c r="R1" s="113"/>
      <c r="S1" s="113"/>
      <c r="T1" s="119"/>
      <c r="U1" s="120"/>
      <c r="V1" s="121"/>
      <c r="W1" s="120"/>
      <c r="X1" s="120"/>
      <c r="Y1" s="120"/>
      <c r="Z1" s="120"/>
    </row>
    <row r="2" ht="13.5" customHeight="1">
      <c r="A2" s="122" t="s">
        <v>96</v>
      </c>
      <c r="B2" s="17"/>
      <c r="C2" s="123" t="s">
        <v>97</v>
      </c>
      <c r="D2" s="124"/>
      <c r="E2" s="125"/>
      <c r="F2" s="126" t="s">
        <v>98</v>
      </c>
      <c r="G2" s="16"/>
      <c r="H2" s="16"/>
      <c r="I2" s="16"/>
      <c r="J2" s="16"/>
      <c r="K2" s="17"/>
      <c r="L2" s="127"/>
      <c r="M2" s="124"/>
      <c r="N2" s="128"/>
      <c r="O2" s="129"/>
      <c r="P2" s="129"/>
      <c r="Q2" s="129"/>
      <c r="R2" s="129"/>
      <c r="S2" s="129"/>
      <c r="T2" s="130"/>
      <c r="U2" s="120"/>
      <c r="V2" s="120"/>
      <c r="W2" s="120"/>
      <c r="X2" s="120"/>
      <c r="Y2" s="120"/>
      <c r="Z2" s="120"/>
    </row>
    <row r="3" ht="13.5" customHeight="1">
      <c r="A3" s="122" t="s">
        <v>99</v>
      </c>
      <c r="B3" s="17"/>
      <c r="C3" s="131" t="s">
        <v>100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32"/>
      <c r="U3" s="120"/>
      <c r="V3" s="120"/>
      <c r="W3" s="120"/>
      <c r="X3" s="120"/>
      <c r="Y3" s="120"/>
      <c r="Z3" s="120"/>
    </row>
    <row r="4" ht="13.5" customHeight="1">
      <c r="A4" s="133" t="s">
        <v>80</v>
      </c>
      <c r="B4" s="17"/>
      <c r="C4" s="134" t="s">
        <v>81</v>
      </c>
      <c r="D4" s="16"/>
      <c r="E4" s="17"/>
      <c r="F4" s="134" t="s">
        <v>82</v>
      </c>
      <c r="G4" s="16"/>
      <c r="H4" s="16"/>
      <c r="I4" s="16"/>
      <c r="J4" s="16"/>
      <c r="K4" s="17"/>
      <c r="L4" s="135" t="s">
        <v>101</v>
      </c>
      <c r="M4" s="16"/>
      <c r="N4" s="55"/>
      <c r="O4" s="134" t="s">
        <v>86</v>
      </c>
      <c r="P4" s="16"/>
      <c r="Q4" s="16"/>
      <c r="R4" s="16"/>
      <c r="S4" s="16"/>
      <c r="T4" s="132"/>
      <c r="U4" s="120"/>
      <c r="V4" s="121"/>
      <c r="W4" s="120"/>
      <c r="X4" s="120"/>
      <c r="Y4" s="120"/>
      <c r="Z4" s="120"/>
    </row>
    <row r="5" ht="13.5" customHeight="1">
      <c r="A5" s="136">
        <f>COUNTIF(F58:HQ58,"P")</f>
        <v>0</v>
      </c>
      <c r="B5" s="137"/>
      <c r="C5" s="138">
        <f>COUNTIF(F58:HQ58,"F")</f>
        <v>0</v>
      </c>
      <c r="D5" s="139"/>
      <c r="E5" s="137"/>
      <c r="F5" s="138">
        <f>SUM(O5,-A5,-C5)</f>
        <v>15</v>
      </c>
      <c r="G5" s="139"/>
      <c r="H5" s="139"/>
      <c r="I5" s="139"/>
      <c r="J5" s="139"/>
      <c r="K5" s="137"/>
      <c r="L5" s="140">
        <f>COUNTIF(E57:HQ57,"N")</f>
        <v>0</v>
      </c>
      <c r="M5" s="140">
        <f>COUNTIF(E57:HQ57,"A")</f>
        <v>0</v>
      </c>
      <c r="N5" s="140">
        <f>COUNTIF(E57:HQ57,"B")</f>
        <v>0</v>
      </c>
      <c r="O5" s="138">
        <f>COUNTA(E7:HT7)</f>
        <v>15</v>
      </c>
      <c r="P5" s="139"/>
      <c r="Q5" s="139"/>
      <c r="R5" s="139"/>
      <c r="S5" s="139"/>
      <c r="T5" s="141"/>
      <c r="U5" s="142"/>
      <c r="V5" s="120"/>
      <c r="W5" s="120"/>
      <c r="X5" s="120"/>
      <c r="Y5" s="120"/>
      <c r="Z5" s="120"/>
    </row>
    <row r="6" ht="9.75" customHeight="1">
      <c r="A6" s="120"/>
      <c r="B6" s="143"/>
      <c r="C6" s="120"/>
      <c r="D6" s="144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46.5" customHeight="1">
      <c r="A7" s="145"/>
      <c r="B7" s="146"/>
      <c r="C7" s="146"/>
      <c r="D7" s="146"/>
      <c r="E7" s="146"/>
      <c r="F7" s="147" t="s">
        <v>102</v>
      </c>
      <c r="G7" s="147" t="s">
        <v>103</v>
      </c>
      <c r="H7" s="147" t="s">
        <v>104</v>
      </c>
      <c r="I7" s="147" t="s">
        <v>105</v>
      </c>
      <c r="J7" s="147" t="s">
        <v>106</v>
      </c>
      <c r="K7" s="147" t="s">
        <v>107</v>
      </c>
      <c r="L7" s="147" t="s">
        <v>108</v>
      </c>
      <c r="M7" s="148" t="s">
        <v>109</v>
      </c>
      <c r="N7" s="149" t="s">
        <v>110</v>
      </c>
      <c r="O7" s="149" t="s">
        <v>111</v>
      </c>
      <c r="P7" s="149" t="s">
        <v>112</v>
      </c>
      <c r="Q7" s="149" t="s">
        <v>113</v>
      </c>
      <c r="R7" s="149" t="s">
        <v>114</v>
      </c>
      <c r="S7" s="149" t="s">
        <v>115</v>
      </c>
      <c r="T7" s="150" t="s">
        <v>116</v>
      </c>
      <c r="U7" s="151"/>
      <c r="V7" s="121"/>
      <c r="W7" s="120"/>
      <c r="X7" s="120"/>
      <c r="Y7" s="120"/>
      <c r="Z7" s="120"/>
    </row>
    <row r="8" ht="13.5" customHeight="1">
      <c r="A8" s="152" t="s">
        <v>117</v>
      </c>
      <c r="B8" s="153" t="s">
        <v>118</v>
      </c>
      <c r="C8" s="154"/>
      <c r="D8" s="155"/>
      <c r="E8" s="156"/>
      <c r="F8" s="157"/>
      <c r="G8" s="157"/>
      <c r="H8" s="157"/>
      <c r="I8" s="157"/>
      <c r="J8" s="157"/>
      <c r="K8" s="157"/>
      <c r="L8" s="157"/>
      <c r="M8" s="157"/>
      <c r="N8" s="158"/>
      <c r="O8" s="158"/>
      <c r="P8" s="158"/>
      <c r="Q8" s="158"/>
      <c r="R8" s="158"/>
      <c r="S8" s="158"/>
      <c r="T8" s="159"/>
      <c r="U8" s="120"/>
      <c r="V8" s="120"/>
      <c r="W8" s="120"/>
      <c r="X8" s="120"/>
      <c r="Y8" s="120"/>
      <c r="Z8" s="120"/>
    </row>
    <row r="9" ht="13.5" customHeight="1">
      <c r="A9" s="160"/>
      <c r="B9" s="161"/>
      <c r="C9" s="161"/>
      <c r="D9" s="162" t="s">
        <v>119</v>
      </c>
      <c r="E9" s="163" t="s">
        <v>120</v>
      </c>
      <c r="F9" s="164" t="s">
        <v>120</v>
      </c>
      <c r="G9" s="165"/>
      <c r="H9" s="165"/>
      <c r="I9" s="165"/>
      <c r="J9" s="165"/>
      <c r="K9" s="165"/>
      <c r="L9" s="165"/>
      <c r="M9" s="165"/>
      <c r="N9" s="166"/>
      <c r="O9" s="166"/>
      <c r="P9" s="166"/>
      <c r="Q9" s="166"/>
      <c r="R9" s="166"/>
      <c r="S9" s="166"/>
      <c r="T9" s="167"/>
      <c r="U9" s="120"/>
      <c r="V9" s="121"/>
      <c r="W9" s="120"/>
      <c r="X9" s="120"/>
      <c r="Y9" s="120"/>
      <c r="Z9" s="120"/>
    </row>
    <row r="10" ht="13.5" customHeight="1">
      <c r="A10" s="160"/>
      <c r="B10" s="161"/>
      <c r="C10" s="161"/>
      <c r="D10" s="168"/>
      <c r="E10" s="169"/>
      <c r="F10" s="170"/>
      <c r="G10" s="170"/>
      <c r="H10" s="170"/>
      <c r="I10" s="170"/>
      <c r="J10" s="170"/>
      <c r="K10" s="170"/>
      <c r="L10" s="170"/>
      <c r="M10" s="170"/>
      <c r="N10" s="166"/>
      <c r="O10" s="166"/>
      <c r="P10" s="166"/>
      <c r="Q10" s="166"/>
      <c r="R10" s="166"/>
      <c r="S10" s="166"/>
      <c r="T10" s="167"/>
      <c r="U10" s="120"/>
      <c r="V10" s="120"/>
      <c r="W10" s="120"/>
      <c r="X10" s="120"/>
      <c r="Y10" s="120"/>
      <c r="Z10" s="120"/>
    </row>
    <row r="11" ht="13.5" customHeight="1">
      <c r="A11" s="160"/>
      <c r="B11" s="171" t="s">
        <v>121</v>
      </c>
      <c r="C11" s="161"/>
      <c r="D11" s="168"/>
      <c r="E11" s="169"/>
      <c r="F11" s="170"/>
      <c r="G11" s="170"/>
      <c r="H11" s="170"/>
      <c r="I11" s="170"/>
      <c r="J11" s="170"/>
      <c r="K11" s="170"/>
      <c r="L11" s="170"/>
      <c r="M11" s="170"/>
      <c r="N11" s="166"/>
      <c r="O11" s="166"/>
      <c r="P11" s="166"/>
      <c r="Q11" s="166"/>
      <c r="R11" s="166"/>
      <c r="S11" s="166"/>
      <c r="T11" s="167"/>
      <c r="U11" s="120"/>
      <c r="V11" s="120"/>
      <c r="W11" s="120"/>
      <c r="X11" s="120"/>
      <c r="Y11" s="120"/>
      <c r="Z11" s="120"/>
    </row>
    <row r="12" ht="13.5" customHeight="1">
      <c r="A12" s="160"/>
      <c r="B12" s="161"/>
      <c r="C12" s="161"/>
      <c r="D12" s="172" t="s">
        <v>122</v>
      </c>
      <c r="E12" s="163" t="s">
        <v>120</v>
      </c>
      <c r="F12" s="173" t="s">
        <v>120</v>
      </c>
      <c r="G12" s="173" t="s">
        <v>120</v>
      </c>
      <c r="H12" s="173" t="s">
        <v>120</v>
      </c>
      <c r="I12" s="170"/>
      <c r="J12" s="170"/>
      <c r="K12" s="173" t="s">
        <v>120</v>
      </c>
      <c r="L12" s="173" t="s">
        <v>120</v>
      </c>
      <c r="M12" s="173" t="s">
        <v>120</v>
      </c>
      <c r="N12" s="173" t="s">
        <v>120</v>
      </c>
      <c r="O12" s="173" t="s">
        <v>120</v>
      </c>
      <c r="P12" s="173" t="s">
        <v>120</v>
      </c>
      <c r="Q12" s="173" t="s">
        <v>120</v>
      </c>
      <c r="R12" s="173" t="s">
        <v>120</v>
      </c>
      <c r="S12" s="173" t="s">
        <v>120</v>
      </c>
      <c r="T12" s="173" t="s">
        <v>120</v>
      </c>
      <c r="U12" s="120"/>
      <c r="V12" s="120"/>
      <c r="W12" s="120"/>
      <c r="X12" s="120"/>
      <c r="Y12" s="120"/>
      <c r="Z12" s="120"/>
    </row>
    <row r="13" ht="13.5" customHeight="1">
      <c r="A13" s="160"/>
      <c r="B13" s="161"/>
      <c r="C13" s="161"/>
      <c r="D13" s="172" t="s">
        <v>123</v>
      </c>
      <c r="E13" s="169"/>
      <c r="F13" s="170"/>
      <c r="G13" s="165"/>
      <c r="H13" s="170"/>
      <c r="I13" s="170"/>
      <c r="J13" s="170"/>
      <c r="K13" s="170"/>
      <c r="L13" s="170"/>
      <c r="M13" s="170"/>
      <c r="N13" s="166"/>
      <c r="O13" s="166"/>
      <c r="P13" s="166"/>
      <c r="Q13" s="166"/>
      <c r="R13" s="166"/>
      <c r="S13" s="166"/>
      <c r="T13" s="167"/>
      <c r="U13" s="120"/>
      <c r="V13" s="120"/>
      <c r="W13" s="120"/>
      <c r="X13" s="120"/>
      <c r="Y13" s="120"/>
      <c r="Z13" s="120"/>
    </row>
    <row r="14" ht="13.5" customHeight="1">
      <c r="A14" s="160"/>
      <c r="B14" s="161"/>
      <c r="C14" s="161"/>
      <c r="D14" s="172" t="s">
        <v>124</v>
      </c>
      <c r="E14" s="169"/>
      <c r="F14" s="170"/>
      <c r="G14" s="170"/>
      <c r="H14" s="165" t="s">
        <v>120</v>
      </c>
      <c r="I14" s="170"/>
      <c r="J14" s="170"/>
      <c r="K14" s="170"/>
      <c r="L14" s="170"/>
      <c r="M14" s="170"/>
      <c r="N14" s="166"/>
      <c r="O14" s="166"/>
      <c r="P14" s="166"/>
      <c r="Q14" s="166"/>
      <c r="R14" s="166"/>
      <c r="S14" s="166"/>
      <c r="T14" s="167"/>
      <c r="U14" s="120"/>
      <c r="V14" s="120"/>
      <c r="W14" s="120"/>
      <c r="X14" s="120"/>
      <c r="Y14" s="120"/>
      <c r="Z14" s="120"/>
    </row>
    <row r="15" ht="13.5" customHeight="1">
      <c r="A15" s="160"/>
      <c r="B15" s="174" t="s">
        <v>125</v>
      </c>
      <c r="C15" s="161"/>
      <c r="D15" s="175"/>
      <c r="E15" s="169"/>
      <c r="F15" s="170"/>
      <c r="G15" s="170"/>
      <c r="H15" s="170"/>
      <c r="I15" s="165" t="s">
        <v>120</v>
      </c>
      <c r="J15" s="170"/>
      <c r="K15" s="170"/>
      <c r="L15" s="170"/>
      <c r="M15" s="170"/>
      <c r="N15" s="166"/>
      <c r="O15" s="166"/>
      <c r="P15" s="166"/>
      <c r="Q15" s="166"/>
      <c r="R15" s="166"/>
      <c r="S15" s="166"/>
      <c r="T15" s="167"/>
      <c r="U15" s="176"/>
      <c r="V15" s="120"/>
      <c r="W15" s="120"/>
      <c r="X15" s="120"/>
      <c r="Y15" s="120"/>
      <c r="Z15" s="120"/>
    </row>
    <row r="16" ht="13.5" customHeight="1">
      <c r="A16" s="160"/>
      <c r="B16" s="161"/>
      <c r="C16" s="161"/>
      <c r="D16" s="177" t="s">
        <v>126</v>
      </c>
      <c r="E16" s="169"/>
      <c r="F16" s="170"/>
      <c r="G16" s="170"/>
      <c r="H16" s="170"/>
      <c r="I16" s="170"/>
      <c r="J16" s="165" t="s">
        <v>120</v>
      </c>
      <c r="K16" s="170"/>
      <c r="L16" s="170"/>
      <c r="M16" s="170"/>
      <c r="N16" s="166"/>
      <c r="O16" s="166"/>
      <c r="P16" s="166"/>
      <c r="Q16" s="166"/>
      <c r="R16" s="166"/>
      <c r="S16" s="166"/>
      <c r="T16" s="167"/>
      <c r="U16" s="176"/>
      <c r="V16" s="120"/>
      <c r="W16" s="120"/>
      <c r="X16" s="120"/>
      <c r="Y16" s="120"/>
      <c r="Z16" s="120"/>
    </row>
    <row r="17" ht="13.5" customHeight="1">
      <c r="A17" s="160"/>
      <c r="B17" s="161"/>
      <c r="C17" s="161"/>
      <c r="D17" s="177" t="s">
        <v>127</v>
      </c>
      <c r="E17" s="169"/>
      <c r="F17" s="170"/>
      <c r="G17" s="170"/>
      <c r="H17" s="170"/>
      <c r="I17" s="170"/>
      <c r="J17" s="170"/>
      <c r="K17" s="165" t="s">
        <v>120</v>
      </c>
      <c r="L17" s="170"/>
      <c r="M17" s="170"/>
      <c r="N17" s="166"/>
      <c r="O17" s="166"/>
      <c r="P17" s="166"/>
      <c r="Q17" s="166"/>
      <c r="R17" s="166"/>
      <c r="S17" s="166"/>
      <c r="T17" s="167"/>
      <c r="U17" s="120"/>
      <c r="V17" s="120"/>
      <c r="W17" s="120"/>
      <c r="X17" s="120"/>
      <c r="Y17" s="120"/>
      <c r="Z17" s="120"/>
    </row>
    <row r="18" ht="13.5" customHeight="1">
      <c r="A18" s="160"/>
      <c r="B18" s="161"/>
      <c r="C18" s="161"/>
      <c r="D18" s="177" t="s">
        <v>128</v>
      </c>
      <c r="E18" s="169"/>
      <c r="F18" s="170"/>
      <c r="G18" s="170"/>
      <c r="H18" s="170"/>
      <c r="I18" s="170"/>
      <c r="J18" s="170"/>
      <c r="K18" s="165"/>
      <c r="L18" s="170"/>
      <c r="M18" s="170"/>
      <c r="N18" s="166"/>
      <c r="O18" s="166"/>
      <c r="P18" s="166"/>
      <c r="Q18" s="166"/>
      <c r="R18" s="166"/>
      <c r="S18" s="166"/>
      <c r="T18" s="167"/>
      <c r="U18" s="120"/>
      <c r="V18" s="120"/>
      <c r="W18" s="120"/>
      <c r="X18" s="120"/>
      <c r="Y18" s="120"/>
      <c r="Z18" s="120"/>
    </row>
    <row r="19" ht="13.5" customHeight="1">
      <c r="A19" s="160"/>
      <c r="B19" s="161"/>
      <c r="C19" s="161"/>
      <c r="D19" s="177" t="s">
        <v>129</v>
      </c>
      <c r="E19" s="169"/>
      <c r="F19" s="170"/>
      <c r="G19" s="170"/>
      <c r="H19" s="170"/>
      <c r="I19" s="170"/>
      <c r="J19" s="170"/>
      <c r="K19" s="165"/>
      <c r="L19" s="170"/>
      <c r="M19" s="170"/>
      <c r="N19" s="166"/>
      <c r="O19" s="166"/>
      <c r="P19" s="166"/>
      <c r="Q19" s="166"/>
      <c r="R19" s="166"/>
      <c r="S19" s="166"/>
      <c r="T19" s="167"/>
      <c r="U19" s="120"/>
      <c r="V19" s="120"/>
      <c r="W19" s="120"/>
      <c r="X19" s="120"/>
      <c r="Y19" s="120"/>
      <c r="Z19" s="120"/>
    </row>
    <row r="20" ht="13.5" customHeight="1">
      <c r="A20" s="160"/>
      <c r="B20" s="161"/>
      <c r="C20" s="161"/>
      <c r="D20" s="177" t="s">
        <v>130</v>
      </c>
      <c r="E20" s="169"/>
      <c r="F20" s="170"/>
      <c r="G20" s="170"/>
      <c r="H20" s="170"/>
      <c r="I20" s="170"/>
      <c r="J20" s="170"/>
      <c r="K20" s="165"/>
      <c r="L20" s="170"/>
      <c r="M20" s="170"/>
      <c r="N20" s="166"/>
      <c r="O20" s="166"/>
      <c r="P20" s="166"/>
      <c r="Q20" s="166"/>
      <c r="R20" s="166"/>
      <c r="S20" s="166"/>
      <c r="T20" s="167"/>
      <c r="U20" s="120"/>
      <c r="V20" s="120"/>
      <c r="W20" s="120"/>
      <c r="X20" s="120"/>
      <c r="Y20" s="120"/>
      <c r="Z20" s="120"/>
    </row>
    <row r="21" ht="13.5" customHeight="1">
      <c r="A21" s="160"/>
      <c r="B21" s="161"/>
      <c r="C21" s="161"/>
      <c r="D21" s="177" t="s">
        <v>131</v>
      </c>
      <c r="E21" s="169"/>
      <c r="F21" s="170"/>
      <c r="G21" s="170"/>
      <c r="H21" s="170"/>
      <c r="I21" s="170"/>
      <c r="J21" s="170"/>
      <c r="K21" s="165"/>
      <c r="L21" s="170"/>
      <c r="M21" s="170"/>
      <c r="N21" s="166"/>
      <c r="O21" s="166"/>
      <c r="P21" s="166"/>
      <c r="Q21" s="166"/>
      <c r="R21" s="166"/>
      <c r="S21" s="166"/>
      <c r="T21" s="167"/>
      <c r="U21" s="120"/>
      <c r="V21" s="120"/>
      <c r="W21" s="120"/>
      <c r="X21" s="120"/>
      <c r="Y21" s="120"/>
      <c r="Z21" s="120"/>
    </row>
    <row r="22" ht="13.5" customHeight="1">
      <c r="A22" s="160"/>
      <c r="B22" s="171" t="s">
        <v>132</v>
      </c>
      <c r="C22" s="154"/>
      <c r="D22" s="17"/>
      <c r="E22" s="169"/>
      <c r="F22" s="170"/>
      <c r="G22" s="170"/>
      <c r="H22" s="170"/>
      <c r="I22" s="170"/>
      <c r="J22" s="170"/>
      <c r="K22" s="170"/>
      <c r="L22" s="170"/>
      <c r="M22" s="170"/>
      <c r="N22" s="166"/>
      <c r="O22" s="166"/>
      <c r="P22" s="166"/>
      <c r="Q22" s="166"/>
      <c r="R22" s="166"/>
      <c r="S22" s="166"/>
      <c r="T22" s="167"/>
      <c r="U22" s="120"/>
      <c r="V22" s="120"/>
      <c r="W22" s="120"/>
      <c r="X22" s="120"/>
      <c r="Y22" s="120"/>
      <c r="Z22" s="120"/>
    </row>
    <row r="23" ht="13.5" customHeight="1">
      <c r="A23" s="160"/>
      <c r="B23" s="161"/>
      <c r="C23" s="161"/>
      <c r="D23" s="172" t="s">
        <v>133</v>
      </c>
      <c r="E23" s="163" t="s">
        <v>120</v>
      </c>
      <c r="F23" s="165" t="s">
        <v>120</v>
      </c>
      <c r="G23" s="170"/>
      <c r="H23" s="170"/>
      <c r="I23" s="170"/>
      <c r="J23" s="170"/>
      <c r="K23" s="170"/>
      <c r="L23" s="170"/>
      <c r="M23" s="170"/>
      <c r="N23" s="166"/>
      <c r="O23" s="166"/>
      <c r="P23" s="166"/>
      <c r="Q23" s="166"/>
      <c r="R23" s="166"/>
      <c r="S23" s="166"/>
      <c r="T23" s="167"/>
      <c r="U23" s="120"/>
      <c r="V23" s="120"/>
      <c r="W23" s="120"/>
      <c r="X23" s="120"/>
      <c r="Y23" s="120"/>
      <c r="Z23" s="120"/>
    </row>
    <row r="24" ht="13.5" customHeight="1">
      <c r="A24" s="160"/>
      <c r="B24" s="161"/>
      <c r="C24" s="161"/>
      <c r="D24" s="172" t="s">
        <v>134</v>
      </c>
      <c r="E24" s="169"/>
      <c r="F24" s="170"/>
      <c r="G24" s="165" t="s">
        <v>120</v>
      </c>
      <c r="H24" s="170"/>
      <c r="I24" s="170"/>
      <c r="J24" s="170"/>
      <c r="K24" s="170"/>
      <c r="L24" s="170"/>
      <c r="M24" s="170"/>
      <c r="N24" s="166"/>
      <c r="O24" s="166"/>
      <c r="P24" s="166"/>
      <c r="Q24" s="166"/>
      <c r="R24" s="166"/>
      <c r="S24" s="166"/>
      <c r="T24" s="167"/>
      <c r="U24" s="120"/>
      <c r="V24" s="120"/>
      <c r="W24" s="120"/>
      <c r="X24" s="120"/>
      <c r="Y24" s="120"/>
      <c r="Z24" s="120"/>
    </row>
    <row r="25" ht="13.5" customHeight="1">
      <c r="A25" s="160"/>
      <c r="B25" s="171" t="s">
        <v>135</v>
      </c>
      <c r="C25" s="161"/>
      <c r="D25" s="162"/>
      <c r="E25" s="169"/>
      <c r="F25" s="170"/>
      <c r="G25" s="170"/>
      <c r="H25" s="165" t="s">
        <v>120</v>
      </c>
      <c r="I25" s="170"/>
      <c r="J25" s="170"/>
      <c r="K25" s="170"/>
      <c r="L25" s="170"/>
      <c r="M25" s="170"/>
      <c r="N25" s="166"/>
      <c r="O25" s="166"/>
      <c r="P25" s="166"/>
      <c r="Q25" s="166"/>
      <c r="R25" s="166"/>
      <c r="S25" s="166"/>
      <c r="T25" s="167"/>
      <c r="U25" s="120"/>
      <c r="V25" s="120"/>
      <c r="W25" s="120"/>
      <c r="X25" s="120"/>
      <c r="Y25" s="120"/>
      <c r="Z25" s="120"/>
    </row>
    <row r="26" ht="13.5" customHeight="1">
      <c r="A26" s="160"/>
      <c r="B26" s="161"/>
      <c r="C26" s="161"/>
      <c r="D26" s="172" t="s">
        <v>136</v>
      </c>
      <c r="E26" s="169"/>
      <c r="F26" s="170"/>
      <c r="G26" s="170"/>
      <c r="H26" s="170"/>
      <c r="I26" s="165" t="s">
        <v>120</v>
      </c>
      <c r="J26" s="170"/>
      <c r="K26" s="170"/>
      <c r="L26" s="170"/>
      <c r="M26" s="170"/>
      <c r="N26" s="166"/>
      <c r="O26" s="166"/>
      <c r="P26" s="166"/>
      <c r="Q26" s="166"/>
      <c r="R26" s="166"/>
      <c r="S26" s="166"/>
      <c r="T26" s="167"/>
      <c r="U26" s="120"/>
      <c r="V26" s="120"/>
      <c r="W26" s="120"/>
      <c r="X26" s="120"/>
      <c r="Y26" s="120"/>
      <c r="Z26" s="120"/>
    </row>
    <row r="27" ht="13.5" customHeight="1">
      <c r="A27" s="160"/>
      <c r="B27" s="161"/>
      <c r="C27" s="161"/>
      <c r="D27" s="172" t="s">
        <v>137</v>
      </c>
      <c r="E27" s="169"/>
      <c r="F27" s="170"/>
      <c r="G27" s="170"/>
      <c r="H27" s="170"/>
      <c r="I27" s="170"/>
      <c r="J27" s="165" t="s">
        <v>120</v>
      </c>
      <c r="K27" s="170"/>
      <c r="L27" s="170"/>
      <c r="M27" s="170"/>
      <c r="N27" s="166"/>
      <c r="O27" s="166"/>
      <c r="P27" s="166"/>
      <c r="Q27" s="166"/>
      <c r="R27" s="166"/>
      <c r="S27" s="166"/>
      <c r="T27" s="167"/>
      <c r="U27" s="120"/>
      <c r="V27" s="120"/>
      <c r="W27" s="120"/>
      <c r="X27" s="120"/>
      <c r="Y27" s="120"/>
      <c r="Z27" s="120"/>
    </row>
    <row r="28" ht="13.5" customHeight="1">
      <c r="A28" s="160"/>
      <c r="B28" s="171" t="s">
        <v>138</v>
      </c>
      <c r="C28" s="161"/>
      <c r="D28" s="162"/>
      <c r="E28" s="170"/>
      <c r="F28" s="170"/>
      <c r="G28" s="170"/>
      <c r="H28" s="170"/>
      <c r="I28" s="170"/>
      <c r="J28" s="170"/>
      <c r="K28" s="165" t="s">
        <v>120</v>
      </c>
      <c r="L28" s="170"/>
      <c r="M28" s="170"/>
      <c r="N28" s="166"/>
      <c r="O28" s="166"/>
      <c r="P28" s="166"/>
      <c r="Q28" s="166"/>
      <c r="R28" s="166"/>
      <c r="S28" s="166"/>
      <c r="T28" s="167"/>
      <c r="U28" s="120"/>
      <c r="V28" s="120"/>
      <c r="W28" s="120"/>
      <c r="X28" s="120"/>
      <c r="Y28" s="120"/>
      <c r="Z28" s="120"/>
    </row>
    <row r="29" ht="13.5" customHeight="1">
      <c r="A29" s="160"/>
      <c r="B29" s="161"/>
      <c r="C29" s="161"/>
      <c r="D29" s="172" t="s">
        <v>136</v>
      </c>
      <c r="E29" s="170"/>
      <c r="F29" s="170"/>
      <c r="G29" s="170"/>
      <c r="H29" s="170"/>
      <c r="I29" s="170"/>
      <c r="J29" s="170"/>
      <c r="K29" s="165"/>
      <c r="L29" s="170"/>
      <c r="M29" s="170"/>
      <c r="N29" s="166"/>
      <c r="O29" s="166"/>
      <c r="P29" s="166"/>
      <c r="Q29" s="166"/>
      <c r="R29" s="166"/>
      <c r="S29" s="166"/>
      <c r="T29" s="167"/>
      <c r="U29" s="120"/>
      <c r="V29" s="120"/>
      <c r="W29" s="120"/>
      <c r="X29" s="120"/>
      <c r="Y29" s="120"/>
      <c r="Z29" s="120"/>
    </row>
    <row r="30" ht="13.5" customHeight="1">
      <c r="A30" s="160"/>
      <c r="B30" s="161"/>
      <c r="C30" s="161"/>
      <c r="D30" s="172" t="s">
        <v>134</v>
      </c>
      <c r="E30" s="170"/>
      <c r="F30" s="170"/>
      <c r="G30" s="170"/>
      <c r="H30" s="170"/>
      <c r="I30" s="170"/>
      <c r="J30" s="170"/>
      <c r="K30" s="165"/>
      <c r="L30" s="170"/>
      <c r="M30" s="170"/>
      <c r="N30" s="166"/>
      <c r="O30" s="166"/>
      <c r="P30" s="166"/>
      <c r="Q30" s="166"/>
      <c r="R30" s="166"/>
      <c r="S30" s="166"/>
      <c r="T30" s="167"/>
      <c r="U30" s="120"/>
      <c r="V30" s="120"/>
      <c r="W30" s="120"/>
      <c r="X30" s="120"/>
      <c r="Y30" s="120"/>
      <c r="Z30" s="120"/>
    </row>
    <row r="31" ht="13.5" customHeight="1">
      <c r="A31" s="160"/>
      <c r="B31" s="171" t="s">
        <v>139</v>
      </c>
      <c r="C31" s="161"/>
      <c r="D31" s="162"/>
      <c r="E31" s="170"/>
      <c r="F31" s="170"/>
      <c r="G31" s="170"/>
      <c r="H31" s="170"/>
      <c r="I31" s="170"/>
      <c r="J31" s="170"/>
      <c r="K31" s="165"/>
      <c r="L31" s="170"/>
      <c r="M31" s="170"/>
      <c r="N31" s="166"/>
      <c r="O31" s="166"/>
      <c r="P31" s="166"/>
      <c r="Q31" s="166"/>
      <c r="R31" s="166"/>
      <c r="S31" s="166"/>
      <c r="T31" s="167"/>
      <c r="U31" s="120"/>
      <c r="V31" s="120"/>
      <c r="W31" s="120"/>
      <c r="X31" s="120"/>
      <c r="Y31" s="120"/>
      <c r="Z31" s="120"/>
    </row>
    <row r="32" ht="13.5" customHeight="1">
      <c r="A32" s="160"/>
      <c r="B32" s="161"/>
      <c r="C32" s="161"/>
      <c r="D32" s="172" t="s">
        <v>136</v>
      </c>
      <c r="E32" s="170"/>
      <c r="F32" s="170"/>
      <c r="G32" s="170"/>
      <c r="H32" s="170"/>
      <c r="I32" s="170"/>
      <c r="J32" s="170"/>
      <c r="K32" s="165"/>
      <c r="L32" s="170"/>
      <c r="M32" s="170"/>
      <c r="N32" s="166"/>
      <c r="O32" s="166"/>
      <c r="P32" s="166"/>
      <c r="Q32" s="166"/>
      <c r="R32" s="166"/>
      <c r="S32" s="166"/>
      <c r="T32" s="167"/>
      <c r="U32" s="120"/>
      <c r="V32" s="120"/>
      <c r="W32" s="120"/>
      <c r="X32" s="120"/>
      <c r="Y32" s="120"/>
      <c r="Z32" s="120"/>
    </row>
    <row r="33" ht="13.5" customHeight="1">
      <c r="A33" s="160"/>
      <c r="B33" s="161"/>
      <c r="C33" s="161"/>
      <c r="D33" s="172" t="s">
        <v>140</v>
      </c>
      <c r="E33" s="170"/>
      <c r="F33" s="170"/>
      <c r="G33" s="170"/>
      <c r="H33" s="170"/>
      <c r="I33" s="170"/>
      <c r="J33" s="170"/>
      <c r="K33" s="165"/>
      <c r="L33" s="170"/>
      <c r="M33" s="170"/>
      <c r="N33" s="166"/>
      <c r="O33" s="166"/>
      <c r="P33" s="166"/>
      <c r="Q33" s="166"/>
      <c r="R33" s="166"/>
      <c r="S33" s="166"/>
      <c r="T33" s="167"/>
      <c r="U33" s="120"/>
      <c r="V33" s="120"/>
      <c r="W33" s="120"/>
      <c r="X33" s="120"/>
      <c r="Y33" s="120"/>
      <c r="Z33" s="120"/>
    </row>
    <row r="34" ht="13.5" customHeight="1">
      <c r="A34" s="160"/>
      <c r="B34" s="161"/>
      <c r="C34" s="161"/>
      <c r="D34" s="172" t="s">
        <v>141</v>
      </c>
      <c r="E34" s="170"/>
      <c r="F34" s="170"/>
      <c r="G34" s="170"/>
      <c r="H34" s="170"/>
      <c r="I34" s="170"/>
      <c r="J34" s="170"/>
      <c r="K34" s="165"/>
      <c r="L34" s="170"/>
      <c r="M34" s="170"/>
      <c r="N34" s="166"/>
      <c r="O34" s="166"/>
      <c r="P34" s="166"/>
      <c r="Q34" s="166"/>
      <c r="R34" s="166"/>
      <c r="S34" s="166"/>
      <c r="T34" s="167"/>
      <c r="U34" s="120"/>
      <c r="V34" s="120"/>
      <c r="W34" s="120"/>
      <c r="X34" s="120"/>
      <c r="Y34" s="120"/>
      <c r="Z34" s="120"/>
    </row>
    <row r="35" ht="13.5" customHeight="1">
      <c r="A35" s="160"/>
      <c r="B35" s="161"/>
      <c r="C35" s="161"/>
      <c r="D35" s="172" t="s">
        <v>142</v>
      </c>
      <c r="E35" s="170"/>
      <c r="F35" s="170"/>
      <c r="G35" s="170"/>
      <c r="H35" s="170"/>
      <c r="I35" s="170"/>
      <c r="J35" s="170"/>
      <c r="K35" s="165"/>
      <c r="L35" s="170"/>
      <c r="M35" s="170"/>
      <c r="N35" s="166"/>
      <c r="O35" s="166"/>
      <c r="P35" s="166"/>
      <c r="Q35" s="166"/>
      <c r="R35" s="166"/>
      <c r="S35" s="166"/>
      <c r="T35" s="167"/>
      <c r="U35" s="120"/>
      <c r="V35" s="120"/>
      <c r="W35" s="120"/>
      <c r="X35" s="120"/>
      <c r="Y35" s="120"/>
      <c r="Z35" s="120"/>
    </row>
    <row r="36" ht="13.5" customHeight="1">
      <c r="A36" s="160"/>
      <c r="B36" s="161"/>
      <c r="C36" s="161"/>
      <c r="D36" s="172" t="s">
        <v>143</v>
      </c>
      <c r="E36" s="170"/>
      <c r="F36" s="170"/>
      <c r="G36" s="170"/>
      <c r="H36" s="170"/>
      <c r="I36" s="170"/>
      <c r="J36" s="170"/>
      <c r="K36" s="165"/>
      <c r="L36" s="170"/>
      <c r="M36" s="170"/>
      <c r="N36" s="166"/>
      <c r="O36" s="166"/>
      <c r="P36" s="166"/>
      <c r="Q36" s="166"/>
      <c r="R36" s="166"/>
      <c r="S36" s="166"/>
      <c r="T36" s="167"/>
      <c r="U36" s="120"/>
      <c r="V36" s="120"/>
      <c r="W36" s="120"/>
      <c r="X36" s="120"/>
      <c r="Y36" s="120"/>
      <c r="Z36" s="120"/>
    </row>
    <row r="37" ht="13.5" customHeight="1">
      <c r="A37" s="160"/>
      <c r="B37" s="171" t="s">
        <v>144</v>
      </c>
      <c r="C37" s="161"/>
      <c r="D37" s="172"/>
      <c r="E37" s="170"/>
      <c r="F37" s="170"/>
      <c r="G37" s="170"/>
      <c r="H37" s="170"/>
      <c r="I37" s="170"/>
      <c r="J37" s="170"/>
      <c r="K37" s="165"/>
      <c r="L37" s="170"/>
      <c r="M37" s="170"/>
      <c r="N37" s="166"/>
      <c r="O37" s="166"/>
      <c r="P37" s="166"/>
      <c r="Q37" s="166"/>
      <c r="R37" s="166"/>
      <c r="S37" s="166"/>
      <c r="T37" s="167"/>
      <c r="U37" s="120"/>
      <c r="V37" s="120"/>
      <c r="W37" s="120"/>
      <c r="X37" s="120"/>
      <c r="Y37" s="120"/>
      <c r="Z37" s="120"/>
    </row>
    <row r="38" ht="13.5" customHeight="1">
      <c r="A38" s="160"/>
      <c r="B38" s="161"/>
      <c r="C38" s="161"/>
      <c r="D38" s="172" t="s">
        <v>136</v>
      </c>
      <c r="E38" s="170"/>
      <c r="F38" s="170"/>
      <c r="G38" s="170"/>
      <c r="H38" s="170"/>
      <c r="I38" s="170"/>
      <c r="J38" s="170"/>
      <c r="K38" s="165"/>
      <c r="L38" s="170"/>
      <c r="M38" s="170"/>
      <c r="N38" s="166"/>
      <c r="O38" s="166"/>
      <c r="P38" s="166"/>
      <c r="Q38" s="166"/>
      <c r="R38" s="166"/>
      <c r="S38" s="166"/>
      <c r="T38" s="167"/>
      <c r="U38" s="120"/>
      <c r="V38" s="120"/>
      <c r="W38" s="120"/>
      <c r="X38" s="120"/>
      <c r="Y38" s="120"/>
      <c r="Z38" s="120"/>
    </row>
    <row r="39" ht="13.5" customHeight="1">
      <c r="A39" s="160"/>
      <c r="B39" s="161"/>
      <c r="C39" s="161"/>
      <c r="D39" s="172" t="s">
        <v>145</v>
      </c>
      <c r="E39" s="170"/>
      <c r="F39" s="170"/>
      <c r="G39" s="170"/>
      <c r="H39" s="170"/>
      <c r="I39" s="170"/>
      <c r="J39" s="170"/>
      <c r="K39" s="165"/>
      <c r="L39" s="170"/>
      <c r="M39" s="170"/>
      <c r="N39" s="166"/>
      <c r="O39" s="166"/>
      <c r="P39" s="166"/>
      <c r="Q39" s="166"/>
      <c r="R39" s="166"/>
      <c r="S39" s="166"/>
      <c r="T39" s="167"/>
      <c r="U39" s="120"/>
      <c r="V39" s="120"/>
      <c r="W39" s="120"/>
      <c r="X39" s="120"/>
      <c r="Y39" s="120"/>
      <c r="Z39" s="120"/>
    </row>
    <row r="40" ht="13.5" customHeight="1">
      <c r="A40" s="178" t="s">
        <v>146</v>
      </c>
      <c r="B40" s="179" t="s">
        <v>147</v>
      </c>
      <c r="C40" s="180"/>
      <c r="D40" s="181"/>
      <c r="E40" s="170"/>
      <c r="F40" s="170"/>
      <c r="G40" s="170"/>
      <c r="H40" s="170"/>
      <c r="I40" s="170"/>
      <c r="J40" s="170"/>
      <c r="K40" s="170"/>
      <c r="L40" s="170"/>
      <c r="M40" s="170"/>
      <c r="N40" s="182"/>
      <c r="O40" s="182"/>
      <c r="P40" s="182"/>
      <c r="Q40" s="182"/>
      <c r="R40" s="182"/>
      <c r="S40" s="182"/>
      <c r="T40" s="183"/>
      <c r="U40" s="120"/>
      <c r="V40" s="120"/>
      <c r="W40" s="120"/>
      <c r="X40" s="120"/>
      <c r="Y40" s="120"/>
      <c r="Z40" s="120"/>
    </row>
    <row r="41" ht="13.5" customHeight="1">
      <c r="A41" s="184"/>
      <c r="B41" s="180"/>
      <c r="C41" s="180"/>
      <c r="D41" s="185" t="s">
        <v>148</v>
      </c>
      <c r="E41" s="170"/>
      <c r="F41" s="165" t="s">
        <v>120</v>
      </c>
      <c r="G41" s="165" t="s">
        <v>120</v>
      </c>
      <c r="H41" s="165" t="s">
        <v>120</v>
      </c>
      <c r="I41" s="165" t="s">
        <v>120</v>
      </c>
      <c r="J41" s="170"/>
      <c r="K41" s="170"/>
      <c r="L41" s="170"/>
      <c r="M41" s="170"/>
      <c r="N41" s="158"/>
      <c r="O41" s="158"/>
      <c r="P41" s="158"/>
      <c r="Q41" s="158"/>
      <c r="R41" s="158"/>
      <c r="S41" s="158"/>
      <c r="T41" s="159"/>
      <c r="U41" s="120"/>
      <c r="V41" s="120"/>
      <c r="W41" s="120"/>
      <c r="X41" s="120"/>
      <c r="Y41" s="120"/>
      <c r="Z41" s="120"/>
    </row>
    <row r="42" ht="13.5" customHeight="1">
      <c r="A42" s="184"/>
      <c r="B42" s="180"/>
      <c r="C42" s="180"/>
      <c r="D42" s="185" t="s">
        <v>149</v>
      </c>
      <c r="E42" s="170"/>
      <c r="F42" s="165"/>
      <c r="G42" s="165"/>
      <c r="H42" s="165"/>
      <c r="I42" s="165"/>
      <c r="J42" s="170"/>
      <c r="K42" s="170"/>
      <c r="L42" s="170"/>
      <c r="M42" s="170"/>
      <c r="N42" s="158"/>
      <c r="O42" s="158"/>
      <c r="P42" s="158"/>
      <c r="Q42" s="158"/>
      <c r="R42" s="158"/>
      <c r="S42" s="158"/>
      <c r="T42" s="159"/>
      <c r="U42" s="120"/>
      <c r="V42" s="120"/>
      <c r="W42" s="120"/>
      <c r="X42" s="120"/>
      <c r="Y42" s="120"/>
      <c r="Z42" s="120"/>
    </row>
    <row r="43" ht="13.5" customHeight="1">
      <c r="A43" s="184"/>
      <c r="B43" s="180"/>
      <c r="C43" s="180"/>
      <c r="D43" s="185" t="s">
        <v>150</v>
      </c>
      <c r="E43" s="170"/>
      <c r="F43" s="165"/>
      <c r="G43" s="165"/>
      <c r="H43" s="165"/>
      <c r="I43" s="165"/>
      <c r="J43" s="170"/>
      <c r="K43" s="170"/>
      <c r="L43" s="170"/>
      <c r="M43" s="170"/>
      <c r="N43" s="158"/>
      <c r="O43" s="158"/>
      <c r="P43" s="158"/>
      <c r="Q43" s="158"/>
      <c r="R43" s="158"/>
      <c r="S43" s="158"/>
      <c r="T43" s="159"/>
      <c r="U43" s="120"/>
      <c r="V43" s="120"/>
      <c r="W43" s="120"/>
      <c r="X43" s="120"/>
      <c r="Y43" s="120"/>
      <c r="Z43" s="120"/>
    </row>
    <row r="44" ht="13.5" customHeight="1">
      <c r="A44" s="184"/>
      <c r="B44" s="180"/>
      <c r="C44" s="180"/>
      <c r="D44" s="185" t="s">
        <v>151</v>
      </c>
      <c r="E44" s="170"/>
      <c r="F44" s="165"/>
      <c r="G44" s="165"/>
      <c r="H44" s="165"/>
      <c r="I44" s="165"/>
      <c r="J44" s="170"/>
      <c r="K44" s="170"/>
      <c r="L44" s="170"/>
      <c r="M44" s="170"/>
      <c r="N44" s="158"/>
      <c r="O44" s="158"/>
      <c r="P44" s="158"/>
      <c r="Q44" s="158"/>
      <c r="R44" s="158"/>
      <c r="S44" s="158"/>
      <c r="T44" s="159"/>
      <c r="U44" s="120"/>
      <c r="V44" s="120"/>
      <c r="W44" s="120"/>
      <c r="X44" s="120"/>
      <c r="Y44" s="120"/>
      <c r="Z44" s="120"/>
    </row>
    <row r="45" ht="13.5" customHeight="1">
      <c r="A45" s="184"/>
      <c r="B45" s="180"/>
      <c r="C45" s="180"/>
      <c r="D45" s="185" t="s">
        <v>152</v>
      </c>
      <c r="E45" s="170"/>
      <c r="F45" s="165"/>
      <c r="G45" s="165"/>
      <c r="H45" s="165"/>
      <c r="I45" s="165"/>
      <c r="J45" s="170"/>
      <c r="K45" s="170"/>
      <c r="L45" s="170"/>
      <c r="M45" s="170"/>
      <c r="N45" s="158"/>
      <c r="O45" s="158"/>
      <c r="P45" s="158"/>
      <c r="Q45" s="158"/>
      <c r="R45" s="158"/>
      <c r="S45" s="158"/>
      <c r="T45" s="159"/>
      <c r="U45" s="120"/>
      <c r="V45" s="120"/>
      <c r="W45" s="120"/>
      <c r="X45" s="120"/>
      <c r="Y45" s="120"/>
      <c r="Z45" s="120"/>
    </row>
    <row r="46" ht="13.5" customHeight="1">
      <c r="A46" s="184"/>
      <c r="B46" s="180"/>
      <c r="C46" s="180"/>
      <c r="D46" s="185" t="s">
        <v>153</v>
      </c>
      <c r="E46" s="170"/>
      <c r="F46" s="165"/>
      <c r="G46" s="165"/>
      <c r="H46" s="165"/>
      <c r="I46" s="165"/>
      <c r="J46" s="170"/>
      <c r="K46" s="170"/>
      <c r="L46" s="170"/>
      <c r="M46" s="170"/>
      <c r="N46" s="158"/>
      <c r="O46" s="158"/>
      <c r="P46" s="158"/>
      <c r="Q46" s="158"/>
      <c r="R46" s="158"/>
      <c r="S46" s="158"/>
      <c r="T46" s="159"/>
      <c r="U46" s="120"/>
      <c r="V46" s="120"/>
      <c r="W46" s="120"/>
      <c r="X46" s="120"/>
      <c r="Y46" s="120"/>
      <c r="Z46" s="120"/>
    </row>
    <row r="47" ht="13.5" customHeight="1">
      <c r="A47" s="184"/>
      <c r="B47" s="180"/>
      <c r="C47" s="180"/>
      <c r="D47" s="185" t="s">
        <v>154</v>
      </c>
      <c r="E47" s="170"/>
      <c r="F47" s="165"/>
      <c r="G47" s="165"/>
      <c r="H47" s="165"/>
      <c r="I47" s="165"/>
      <c r="J47" s="170"/>
      <c r="K47" s="170"/>
      <c r="L47" s="170"/>
      <c r="M47" s="170"/>
      <c r="N47" s="158"/>
      <c r="O47" s="158"/>
      <c r="P47" s="158"/>
      <c r="Q47" s="158"/>
      <c r="R47" s="158"/>
      <c r="S47" s="158"/>
      <c r="T47" s="159"/>
      <c r="U47" s="120"/>
      <c r="V47" s="120"/>
      <c r="W47" s="120"/>
      <c r="X47" s="120"/>
      <c r="Y47" s="120"/>
      <c r="Z47" s="120"/>
    </row>
    <row r="48" ht="13.5" customHeight="1">
      <c r="A48" s="184"/>
      <c r="B48" s="180"/>
      <c r="C48" s="180"/>
      <c r="D48" s="185" t="s">
        <v>155</v>
      </c>
      <c r="E48" s="170"/>
      <c r="F48" s="165"/>
      <c r="G48" s="165"/>
      <c r="H48" s="165"/>
      <c r="I48" s="165"/>
      <c r="J48" s="170"/>
      <c r="K48" s="170"/>
      <c r="L48" s="170"/>
      <c r="M48" s="170"/>
      <c r="N48" s="158"/>
      <c r="O48" s="158"/>
      <c r="P48" s="158"/>
      <c r="Q48" s="158"/>
      <c r="R48" s="158"/>
      <c r="S48" s="158"/>
      <c r="T48" s="159"/>
      <c r="U48" s="120"/>
      <c r="V48" s="120"/>
      <c r="W48" s="120"/>
      <c r="X48" s="120"/>
      <c r="Y48" s="120"/>
      <c r="Z48" s="120"/>
    </row>
    <row r="49" ht="13.5" customHeight="1">
      <c r="A49" s="184"/>
      <c r="B49" s="180"/>
      <c r="C49" s="180"/>
      <c r="D49" s="185" t="s">
        <v>156</v>
      </c>
      <c r="E49" s="170"/>
      <c r="F49" s="165"/>
      <c r="G49" s="165"/>
      <c r="H49" s="165"/>
      <c r="I49" s="165"/>
      <c r="J49" s="170"/>
      <c r="K49" s="170"/>
      <c r="L49" s="170"/>
      <c r="M49" s="170"/>
      <c r="N49" s="158"/>
      <c r="O49" s="158"/>
      <c r="P49" s="158"/>
      <c r="Q49" s="158"/>
      <c r="R49" s="158"/>
      <c r="S49" s="158"/>
      <c r="T49" s="159"/>
      <c r="U49" s="120"/>
      <c r="V49" s="120"/>
      <c r="W49" s="120"/>
      <c r="X49" s="120"/>
      <c r="Y49" s="120"/>
      <c r="Z49" s="120"/>
    </row>
    <row r="50" ht="13.5" customHeight="1">
      <c r="A50" s="184"/>
      <c r="B50" s="179" t="s">
        <v>157</v>
      </c>
      <c r="C50" s="180"/>
      <c r="D50" s="181"/>
      <c r="E50" s="170"/>
      <c r="F50" s="170"/>
      <c r="G50" s="170"/>
      <c r="H50" s="170"/>
      <c r="I50" s="170"/>
      <c r="J50" s="170"/>
      <c r="K50" s="170"/>
      <c r="L50" s="170"/>
      <c r="M50" s="170"/>
      <c r="N50" s="166"/>
      <c r="O50" s="166"/>
      <c r="P50" s="166"/>
      <c r="Q50" s="166"/>
      <c r="R50" s="166"/>
      <c r="S50" s="166"/>
      <c r="T50" s="167"/>
      <c r="U50" s="120"/>
      <c r="V50" s="120"/>
      <c r="W50" s="120"/>
      <c r="X50" s="120"/>
      <c r="Y50" s="120"/>
      <c r="Z50" s="120"/>
    </row>
    <row r="51" ht="13.5" customHeight="1">
      <c r="A51" s="184"/>
      <c r="B51" s="180"/>
      <c r="C51" s="180"/>
      <c r="D51" s="186" t="s">
        <v>158</v>
      </c>
      <c r="E51" s="170"/>
      <c r="F51" s="170"/>
      <c r="G51" s="170"/>
      <c r="H51" s="170"/>
      <c r="I51" s="170"/>
      <c r="J51" s="170"/>
      <c r="K51" s="170"/>
      <c r="L51" s="170"/>
      <c r="M51" s="170"/>
      <c r="N51" s="166"/>
      <c r="O51" s="166"/>
      <c r="P51" s="166"/>
      <c r="Q51" s="166"/>
      <c r="R51" s="166"/>
      <c r="S51" s="166"/>
      <c r="T51" s="167"/>
      <c r="U51" s="120"/>
      <c r="V51" s="120"/>
      <c r="W51" s="120"/>
      <c r="X51" s="120"/>
      <c r="Y51" s="120"/>
      <c r="Z51" s="120"/>
    </row>
    <row r="52" ht="13.5" customHeight="1">
      <c r="A52" s="184"/>
      <c r="B52" s="179" t="s">
        <v>159</v>
      </c>
      <c r="C52" s="180"/>
      <c r="D52" s="181"/>
      <c r="E52" s="170"/>
      <c r="F52" s="170"/>
      <c r="G52" s="170"/>
      <c r="H52" s="170"/>
      <c r="I52" s="170"/>
      <c r="J52" s="170"/>
      <c r="K52" s="170"/>
      <c r="L52" s="170"/>
      <c r="M52" s="170"/>
      <c r="N52" s="166"/>
      <c r="O52" s="166"/>
      <c r="P52" s="166"/>
      <c r="Q52" s="166"/>
      <c r="R52" s="166"/>
      <c r="S52" s="166"/>
      <c r="T52" s="167"/>
      <c r="U52" s="120"/>
      <c r="V52" s="120"/>
      <c r="W52" s="120"/>
      <c r="X52" s="120"/>
      <c r="Y52" s="120"/>
      <c r="Z52" s="120"/>
    </row>
    <row r="53" ht="13.5" customHeight="1">
      <c r="A53" s="184"/>
      <c r="B53" s="180"/>
      <c r="C53" s="180"/>
      <c r="D53" s="187"/>
      <c r="E53" s="170"/>
      <c r="F53" s="170"/>
      <c r="G53" s="170"/>
      <c r="H53" s="170"/>
      <c r="I53" s="170"/>
      <c r="J53" s="170"/>
      <c r="K53" s="170"/>
      <c r="L53" s="165" t="s">
        <v>120</v>
      </c>
      <c r="M53" s="165"/>
      <c r="N53" s="166"/>
      <c r="O53" s="166"/>
      <c r="P53" s="166"/>
      <c r="Q53" s="166"/>
      <c r="R53" s="166"/>
      <c r="S53" s="166"/>
      <c r="T53" s="167"/>
      <c r="U53" s="120"/>
      <c r="V53" s="120"/>
      <c r="W53" s="120"/>
      <c r="X53" s="120"/>
      <c r="Y53" s="120"/>
      <c r="Z53" s="120"/>
    </row>
    <row r="54" ht="13.5" customHeight="1">
      <c r="A54" s="184"/>
      <c r="B54" s="180"/>
      <c r="C54" s="180"/>
      <c r="D54" s="187"/>
      <c r="E54" s="165" t="s">
        <v>120</v>
      </c>
      <c r="F54" s="170"/>
      <c r="G54" s="170"/>
      <c r="H54" s="170"/>
      <c r="I54" s="170"/>
      <c r="J54" s="165" t="s">
        <v>120</v>
      </c>
      <c r="K54" s="165" t="s">
        <v>120</v>
      </c>
      <c r="L54" s="170"/>
      <c r="M54" s="170"/>
      <c r="N54" s="166"/>
      <c r="O54" s="166"/>
      <c r="P54" s="166"/>
      <c r="Q54" s="166"/>
      <c r="R54" s="166"/>
      <c r="S54" s="166"/>
      <c r="T54" s="167"/>
      <c r="U54" s="120"/>
      <c r="V54" s="120"/>
      <c r="W54" s="120"/>
      <c r="X54" s="120"/>
      <c r="Y54" s="120"/>
      <c r="Z54" s="120"/>
    </row>
    <row r="55" ht="13.5" customHeight="1">
      <c r="A55" s="178" t="s">
        <v>160</v>
      </c>
      <c r="B55" s="188" t="s">
        <v>161</v>
      </c>
      <c r="C55" s="189"/>
      <c r="D55" s="190"/>
      <c r="E55" s="191" t="s">
        <v>84</v>
      </c>
      <c r="F55" s="191" t="s">
        <v>83</v>
      </c>
      <c r="G55" s="192" t="s">
        <v>85</v>
      </c>
      <c r="H55" s="192" t="s">
        <v>85</v>
      </c>
      <c r="I55" s="192" t="s">
        <v>84</v>
      </c>
      <c r="J55" s="191" t="s">
        <v>84</v>
      </c>
      <c r="K55" s="191" t="s">
        <v>84</v>
      </c>
      <c r="L55" s="191" t="s">
        <v>84</v>
      </c>
      <c r="M55" s="191"/>
      <c r="N55" s="166"/>
      <c r="O55" s="166"/>
      <c r="P55" s="166"/>
      <c r="Q55" s="166"/>
      <c r="R55" s="166"/>
      <c r="S55" s="166"/>
      <c r="T55" s="167"/>
      <c r="U55" s="120"/>
      <c r="V55" s="120"/>
      <c r="W55" s="120"/>
      <c r="X55" s="120"/>
      <c r="Y55" s="120"/>
      <c r="Z55" s="120"/>
    </row>
    <row r="56" ht="13.5" customHeight="1">
      <c r="A56" s="193"/>
      <c r="B56" s="194" t="s">
        <v>162</v>
      </c>
      <c r="C56" s="16"/>
      <c r="D56" s="17"/>
      <c r="E56" s="195" t="s">
        <v>163</v>
      </c>
      <c r="F56" s="195" t="s">
        <v>163</v>
      </c>
      <c r="G56" s="195" t="s">
        <v>163</v>
      </c>
      <c r="H56" s="195" t="s">
        <v>163</v>
      </c>
      <c r="I56" s="195" t="s">
        <v>163</v>
      </c>
      <c r="J56" s="195" t="s">
        <v>163</v>
      </c>
      <c r="K56" s="195" t="s">
        <v>163</v>
      </c>
      <c r="L56" s="195" t="s">
        <v>163</v>
      </c>
      <c r="M56" s="195"/>
      <c r="N56" s="196"/>
      <c r="O56" s="196"/>
      <c r="P56" s="196"/>
      <c r="Q56" s="196"/>
      <c r="R56" s="196"/>
      <c r="S56" s="196"/>
      <c r="T56" s="197"/>
      <c r="U56" s="120"/>
      <c r="V56" s="120"/>
      <c r="W56" s="120"/>
      <c r="X56" s="120"/>
      <c r="Y56" s="120"/>
      <c r="Z56" s="120"/>
    </row>
    <row r="57" ht="13.5" customHeight="1">
      <c r="A57" s="193"/>
      <c r="B57" s="198" t="s">
        <v>164</v>
      </c>
      <c r="C57" s="16"/>
      <c r="D57" s="17"/>
      <c r="E57" s="199" t="s">
        <v>165</v>
      </c>
      <c r="F57" s="200">
        <v>45836.0</v>
      </c>
      <c r="G57" s="200">
        <v>45836.0</v>
      </c>
      <c r="H57" s="200">
        <v>45836.0</v>
      </c>
      <c r="I57" s="200">
        <v>45836.0</v>
      </c>
      <c r="J57" s="200">
        <v>45836.0</v>
      </c>
      <c r="K57" s="200">
        <v>45836.0</v>
      </c>
      <c r="L57" s="200">
        <v>45836.0</v>
      </c>
      <c r="M57" s="200"/>
      <c r="N57" s="201"/>
      <c r="O57" s="201"/>
      <c r="P57" s="201"/>
      <c r="Q57" s="201"/>
      <c r="R57" s="201"/>
      <c r="S57" s="201"/>
      <c r="T57" s="202"/>
      <c r="U57" s="120"/>
      <c r="V57" s="120"/>
      <c r="W57" s="120"/>
      <c r="X57" s="120"/>
      <c r="Y57" s="120"/>
      <c r="Z57" s="120"/>
    </row>
    <row r="58" ht="13.5" customHeight="1">
      <c r="A58" s="203"/>
      <c r="B58" s="204" t="s">
        <v>166</v>
      </c>
      <c r="C58" s="205"/>
      <c r="D58" s="206"/>
      <c r="E58" s="207"/>
      <c r="F58" s="207"/>
      <c r="G58" s="207"/>
      <c r="H58" s="207"/>
      <c r="I58" s="207"/>
      <c r="J58" s="207"/>
      <c r="K58" s="207"/>
      <c r="L58" s="207"/>
      <c r="M58" s="207"/>
      <c r="N58" s="208"/>
      <c r="O58" s="208"/>
      <c r="P58" s="208"/>
      <c r="Q58" s="208"/>
      <c r="R58" s="208"/>
      <c r="S58" s="208"/>
      <c r="T58" s="209"/>
      <c r="U58" s="120"/>
      <c r="V58" s="120"/>
      <c r="W58" s="120"/>
      <c r="X58" s="120"/>
      <c r="Y58" s="120"/>
      <c r="Z58" s="120"/>
    </row>
    <row r="59" ht="13.5" customHeight="1">
      <c r="A59" s="210"/>
      <c r="B59" s="211" t="s">
        <v>164</v>
      </c>
      <c r="C59" s="16"/>
      <c r="D59" s="17"/>
      <c r="E59" s="212"/>
      <c r="F59" s="213">
        <v>39139.0</v>
      </c>
      <c r="G59" s="213">
        <v>39139.0</v>
      </c>
      <c r="H59" s="213">
        <v>39140.0</v>
      </c>
      <c r="I59" s="213">
        <v>39141.0</v>
      </c>
      <c r="J59" s="213">
        <v>39142.0</v>
      </c>
      <c r="K59" s="213">
        <v>39143.0</v>
      </c>
      <c r="L59" s="213">
        <v>39144.0</v>
      </c>
      <c r="M59" s="213"/>
      <c r="N59" s="213"/>
      <c r="O59" s="213"/>
      <c r="P59" s="213"/>
      <c r="Q59" s="213"/>
      <c r="R59" s="213"/>
      <c r="S59" s="213"/>
      <c r="T59" s="214"/>
      <c r="U59" s="120"/>
      <c r="V59" s="120"/>
      <c r="W59" s="120"/>
      <c r="X59" s="120"/>
      <c r="Y59" s="120"/>
      <c r="Z59" s="120"/>
    </row>
    <row r="60" ht="69.0" customHeight="1">
      <c r="A60" s="215"/>
      <c r="B60" s="216" t="s">
        <v>166</v>
      </c>
      <c r="C60" s="205"/>
      <c r="D60" s="206"/>
      <c r="E60" s="217"/>
      <c r="F60" s="218"/>
      <c r="G60" s="218"/>
      <c r="H60" s="218"/>
      <c r="I60" s="218"/>
      <c r="J60" s="218"/>
      <c r="K60" s="218" t="s">
        <v>167</v>
      </c>
      <c r="L60" s="218" t="s">
        <v>168</v>
      </c>
      <c r="M60" s="218"/>
      <c r="N60" s="218"/>
      <c r="O60" s="218"/>
      <c r="P60" s="218"/>
      <c r="Q60" s="218"/>
      <c r="R60" s="218"/>
      <c r="S60" s="218"/>
      <c r="T60" s="219"/>
      <c r="U60" s="120"/>
      <c r="V60" s="120"/>
      <c r="W60" s="120"/>
      <c r="X60" s="120"/>
      <c r="Y60" s="120"/>
      <c r="Z60" s="120"/>
    </row>
    <row r="61" ht="9.75" customHeight="1">
      <c r="A61" s="220"/>
      <c r="B61" s="143"/>
      <c r="C61" s="120"/>
      <c r="D61" s="144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3.5" customHeight="1">
      <c r="A62" s="120"/>
      <c r="B62" s="143"/>
      <c r="C62" s="120"/>
      <c r="D62" s="144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3.5" customHeight="1">
      <c r="A63" s="120"/>
      <c r="B63" s="143"/>
      <c r="C63" s="120"/>
      <c r="D63" s="144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3.5" customHeight="1">
      <c r="A64" s="120"/>
      <c r="B64" s="143"/>
      <c r="C64" s="120"/>
      <c r="D64" s="144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3.5" customHeight="1">
      <c r="A65" s="120"/>
      <c r="B65" s="143"/>
      <c r="C65" s="120"/>
      <c r="D65" s="144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3.5" customHeight="1">
      <c r="A66" s="120"/>
      <c r="B66" s="143"/>
      <c r="C66" s="120"/>
      <c r="D66" s="144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3.5" customHeight="1">
      <c r="A67" s="120"/>
      <c r="B67" s="143"/>
      <c r="C67" s="120"/>
      <c r="D67" s="144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3.5" customHeight="1">
      <c r="A68" s="120"/>
      <c r="B68" s="143"/>
      <c r="C68" s="120"/>
      <c r="D68" s="144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3.5" customHeight="1">
      <c r="A69" s="120"/>
      <c r="B69" s="143"/>
      <c r="C69" s="120"/>
      <c r="D69" s="144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3.5" customHeight="1">
      <c r="A70" s="120"/>
      <c r="B70" s="143"/>
      <c r="C70" s="120"/>
      <c r="D70" s="144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3.5" customHeight="1">
      <c r="A71" s="120"/>
      <c r="B71" s="143"/>
      <c r="C71" s="120"/>
      <c r="D71" s="144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3.5" customHeight="1">
      <c r="A72" s="120"/>
      <c r="B72" s="143"/>
      <c r="C72" s="120"/>
      <c r="D72" s="144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3.5" customHeight="1">
      <c r="A73" s="120"/>
      <c r="B73" s="143"/>
      <c r="C73" s="120"/>
      <c r="D73" s="144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3.5" customHeight="1">
      <c r="A74" s="120"/>
      <c r="B74" s="143"/>
      <c r="C74" s="120"/>
      <c r="D74" s="144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3.5" customHeight="1">
      <c r="A75" s="120"/>
      <c r="B75" s="143"/>
      <c r="C75" s="120"/>
      <c r="D75" s="144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3.5" customHeight="1">
      <c r="A76" s="120"/>
      <c r="B76" s="143"/>
      <c r="C76" s="120"/>
      <c r="D76" s="144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3.5" customHeight="1">
      <c r="A77" s="120"/>
      <c r="B77" s="143"/>
      <c r="C77" s="120"/>
      <c r="D77" s="144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3.5" customHeight="1">
      <c r="A78" s="120"/>
      <c r="B78" s="143"/>
      <c r="C78" s="120"/>
      <c r="D78" s="144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3.5" customHeight="1">
      <c r="A79" s="120"/>
      <c r="B79" s="143"/>
      <c r="C79" s="120"/>
      <c r="D79" s="144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3.5" customHeight="1">
      <c r="A80" s="120"/>
      <c r="B80" s="143"/>
      <c r="C80" s="120"/>
      <c r="D80" s="14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3.5" customHeight="1">
      <c r="A81" s="120"/>
      <c r="B81" s="143"/>
      <c r="C81" s="120"/>
      <c r="D81" s="144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3.5" customHeight="1">
      <c r="A82" s="120"/>
      <c r="B82" s="143"/>
      <c r="C82" s="120"/>
      <c r="D82" s="144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3.5" customHeight="1">
      <c r="A83" s="120"/>
      <c r="B83" s="143"/>
      <c r="C83" s="120"/>
      <c r="D83" s="144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3.5" customHeight="1">
      <c r="A84" s="120"/>
      <c r="B84" s="143"/>
      <c r="C84" s="120"/>
      <c r="D84" s="144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3.5" customHeight="1">
      <c r="A85" s="120"/>
      <c r="B85" s="143"/>
      <c r="C85" s="120"/>
      <c r="D85" s="144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3.5" customHeight="1">
      <c r="A86" s="120"/>
      <c r="B86" s="143"/>
      <c r="C86" s="120"/>
      <c r="D86" s="144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3.5" customHeight="1">
      <c r="A87" s="120"/>
      <c r="B87" s="143"/>
      <c r="C87" s="120"/>
      <c r="D87" s="144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3.5" customHeight="1">
      <c r="A88" s="120"/>
      <c r="B88" s="143"/>
      <c r="C88" s="120"/>
      <c r="D88" s="144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3.5" customHeight="1">
      <c r="A89" s="120"/>
      <c r="B89" s="143"/>
      <c r="C89" s="120"/>
      <c r="D89" s="144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3.5" customHeight="1">
      <c r="A90" s="120"/>
      <c r="B90" s="143"/>
      <c r="C90" s="120"/>
      <c r="D90" s="144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3.5" customHeight="1">
      <c r="A91" s="120"/>
      <c r="B91" s="143"/>
      <c r="C91" s="120"/>
      <c r="D91" s="144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3.5" customHeight="1">
      <c r="A92" s="120"/>
      <c r="B92" s="143"/>
      <c r="C92" s="120"/>
      <c r="D92" s="144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3.5" customHeight="1">
      <c r="A93" s="120"/>
      <c r="B93" s="143"/>
      <c r="C93" s="120"/>
      <c r="D93" s="144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3.5" customHeight="1">
      <c r="A94" s="120"/>
      <c r="B94" s="143"/>
      <c r="C94" s="120"/>
      <c r="D94" s="144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3.5" customHeight="1">
      <c r="A95" s="120"/>
      <c r="B95" s="143"/>
      <c r="C95" s="120"/>
      <c r="D95" s="144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3.5" customHeight="1">
      <c r="A96" s="120"/>
      <c r="B96" s="143"/>
      <c r="C96" s="120"/>
      <c r="D96" s="144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3.5" customHeight="1">
      <c r="A97" s="120"/>
      <c r="B97" s="143"/>
      <c r="C97" s="120"/>
      <c r="D97" s="144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3.5" customHeight="1">
      <c r="A98" s="120"/>
      <c r="B98" s="143"/>
      <c r="C98" s="120"/>
      <c r="D98" s="144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3.5" customHeight="1">
      <c r="A99" s="120"/>
      <c r="B99" s="143"/>
      <c r="C99" s="120"/>
      <c r="D99" s="144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3.5" customHeight="1">
      <c r="A100" s="120"/>
      <c r="B100" s="143"/>
      <c r="C100" s="120"/>
      <c r="D100" s="144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3.5" customHeight="1">
      <c r="A101" s="120"/>
      <c r="B101" s="143"/>
      <c r="C101" s="120"/>
      <c r="D101" s="144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3.5" customHeight="1">
      <c r="A102" s="120"/>
      <c r="B102" s="143"/>
      <c r="C102" s="120"/>
      <c r="D102" s="144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3.5" customHeight="1">
      <c r="A103" s="120"/>
      <c r="B103" s="143"/>
      <c r="C103" s="120"/>
      <c r="D103" s="144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3.5" customHeight="1">
      <c r="A104" s="120"/>
      <c r="B104" s="143"/>
      <c r="C104" s="120"/>
      <c r="D104" s="144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3.5" customHeight="1">
      <c r="A105" s="120"/>
      <c r="B105" s="143"/>
      <c r="C105" s="120"/>
      <c r="D105" s="144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3.5" customHeight="1">
      <c r="A106" s="120"/>
      <c r="B106" s="143"/>
      <c r="C106" s="120"/>
      <c r="D106" s="144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3.5" customHeight="1">
      <c r="A107" s="120"/>
      <c r="B107" s="143"/>
      <c r="C107" s="120"/>
      <c r="D107" s="144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3.5" customHeight="1">
      <c r="A108" s="120"/>
      <c r="B108" s="143"/>
      <c r="C108" s="120"/>
      <c r="D108" s="144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3.5" customHeight="1">
      <c r="A109" s="120"/>
      <c r="B109" s="143"/>
      <c r="C109" s="120"/>
      <c r="D109" s="144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3.5" customHeight="1">
      <c r="A110" s="120"/>
      <c r="B110" s="143"/>
      <c r="C110" s="120"/>
      <c r="D110" s="144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3.5" customHeight="1">
      <c r="A111" s="120"/>
      <c r="B111" s="143"/>
      <c r="C111" s="120"/>
      <c r="D111" s="144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3.5" customHeight="1">
      <c r="A112" s="120"/>
      <c r="B112" s="143"/>
      <c r="C112" s="120"/>
      <c r="D112" s="144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3.5" customHeight="1">
      <c r="A113" s="120"/>
      <c r="B113" s="143"/>
      <c r="C113" s="120"/>
      <c r="D113" s="144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3.5" customHeight="1">
      <c r="A114" s="120"/>
      <c r="B114" s="143"/>
      <c r="C114" s="120"/>
      <c r="D114" s="144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3.5" customHeight="1">
      <c r="A115" s="120"/>
      <c r="B115" s="143"/>
      <c r="C115" s="120"/>
      <c r="D115" s="144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3.5" customHeight="1">
      <c r="A116" s="120"/>
      <c r="B116" s="143"/>
      <c r="C116" s="120"/>
      <c r="D116" s="144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3.5" customHeight="1">
      <c r="A117" s="120"/>
      <c r="B117" s="143"/>
      <c r="C117" s="120"/>
      <c r="D117" s="144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3.5" customHeight="1">
      <c r="A118" s="120"/>
      <c r="B118" s="143"/>
      <c r="C118" s="120"/>
      <c r="D118" s="144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3.5" customHeight="1">
      <c r="A119" s="120"/>
      <c r="B119" s="143"/>
      <c r="C119" s="120"/>
      <c r="D119" s="144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3.5" customHeight="1">
      <c r="A120" s="120"/>
      <c r="B120" s="143"/>
      <c r="C120" s="120"/>
      <c r="D120" s="144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3.5" customHeight="1">
      <c r="A121" s="120"/>
      <c r="B121" s="143"/>
      <c r="C121" s="120"/>
      <c r="D121" s="144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3.5" customHeight="1">
      <c r="A122" s="120"/>
      <c r="B122" s="143"/>
      <c r="C122" s="120"/>
      <c r="D122" s="144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3.5" customHeight="1">
      <c r="A123" s="120"/>
      <c r="B123" s="143"/>
      <c r="C123" s="120"/>
      <c r="D123" s="144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3.5" customHeight="1">
      <c r="A124" s="120"/>
      <c r="B124" s="143"/>
      <c r="C124" s="120"/>
      <c r="D124" s="144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3.5" customHeight="1">
      <c r="A125" s="120"/>
      <c r="B125" s="143"/>
      <c r="C125" s="120"/>
      <c r="D125" s="144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3.5" customHeight="1">
      <c r="A126" s="120"/>
      <c r="B126" s="143"/>
      <c r="C126" s="120"/>
      <c r="D126" s="144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3.5" customHeight="1">
      <c r="A127" s="120"/>
      <c r="B127" s="143"/>
      <c r="C127" s="120"/>
      <c r="D127" s="144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3.5" customHeight="1">
      <c r="A128" s="120"/>
      <c r="B128" s="143"/>
      <c r="C128" s="120"/>
      <c r="D128" s="144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3.5" customHeight="1">
      <c r="A129" s="120"/>
      <c r="B129" s="143"/>
      <c r="C129" s="120"/>
      <c r="D129" s="144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3.5" customHeight="1">
      <c r="A130" s="120"/>
      <c r="B130" s="143"/>
      <c r="C130" s="120"/>
      <c r="D130" s="144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3.5" customHeight="1">
      <c r="A131" s="120"/>
      <c r="B131" s="143"/>
      <c r="C131" s="120"/>
      <c r="D131" s="144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3.5" customHeight="1">
      <c r="A132" s="120"/>
      <c r="B132" s="143"/>
      <c r="C132" s="120"/>
      <c r="D132" s="144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3.5" customHeight="1">
      <c r="A133" s="120"/>
      <c r="B133" s="143"/>
      <c r="C133" s="120"/>
      <c r="D133" s="144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3.5" customHeight="1">
      <c r="A134" s="120"/>
      <c r="B134" s="143"/>
      <c r="C134" s="120"/>
      <c r="D134" s="144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3.5" customHeight="1">
      <c r="A135" s="120"/>
      <c r="B135" s="143"/>
      <c r="C135" s="120"/>
      <c r="D135" s="144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3.5" customHeight="1">
      <c r="A136" s="120"/>
      <c r="B136" s="143"/>
      <c r="C136" s="120"/>
      <c r="D136" s="144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3.5" customHeight="1">
      <c r="A137" s="120"/>
      <c r="B137" s="143"/>
      <c r="C137" s="120"/>
      <c r="D137" s="144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3.5" customHeight="1">
      <c r="A138" s="120"/>
      <c r="B138" s="143"/>
      <c r="C138" s="120"/>
      <c r="D138" s="144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3.5" customHeight="1">
      <c r="A139" s="120"/>
      <c r="B139" s="143"/>
      <c r="C139" s="120"/>
      <c r="D139" s="144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3.5" customHeight="1">
      <c r="A140" s="120"/>
      <c r="B140" s="143"/>
      <c r="C140" s="120"/>
      <c r="D140" s="144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3.5" customHeight="1">
      <c r="A141" s="120"/>
      <c r="B141" s="143"/>
      <c r="C141" s="120"/>
      <c r="D141" s="144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3.5" customHeight="1">
      <c r="A142" s="120"/>
      <c r="B142" s="143"/>
      <c r="C142" s="120"/>
      <c r="D142" s="144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3.5" customHeight="1">
      <c r="A143" s="120"/>
      <c r="B143" s="143"/>
      <c r="C143" s="120"/>
      <c r="D143" s="144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3.5" customHeight="1">
      <c r="A144" s="120"/>
      <c r="B144" s="143"/>
      <c r="C144" s="120"/>
      <c r="D144" s="144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3.5" customHeight="1">
      <c r="A145" s="120"/>
      <c r="B145" s="143"/>
      <c r="C145" s="120"/>
      <c r="D145" s="144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3.5" customHeight="1">
      <c r="A146" s="120"/>
      <c r="B146" s="143"/>
      <c r="C146" s="120"/>
      <c r="D146" s="144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3.5" customHeight="1">
      <c r="A147" s="120"/>
      <c r="B147" s="143"/>
      <c r="C147" s="120"/>
      <c r="D147" s="144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3.5" customHeight="1">
      <c r="A148" s="120"/>
      <c r="B148" s="143"/>
      <c r="C148" s="120"/>
      <c r="D148" s="144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3.5" customHeight="1">
      <c r="A149" s="120"/>
      <c r="B149" s="143"/>
      <c r="C149" s="120"/>
      <c r="D149" s="144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3.5" customHeight="1">
      <c r="A150" s="120"/>
      <c r="B150" s="143"/>
      <c r="C150" s="120"/>
      <c r="D150" s="144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3.5" customHeight="1">
      <c r="A151" s="120"/>
      <c r="B151" s="143"/>
      <c r="C151" s="120"/>
      <c r="D151" s="144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3.5" customHeight="1">
      <c r="A152" s="120"/>
      <c r="B152" s="143"/>
      <c r="C152" s="120"/>
      <c r="D152" s="144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3.5" customHeight="1">
      <c r="A153" s="120"/>
      <c r="B153" s="143"/>
      <c r="C153" s="120"/>
      <c r="D153" s="144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3.5" customHeight="1">
      <c r="A154" s="120"/>
      <c r="B154" s="143"/>
      <c r="C154" s="120"/>
      <c r="D154" s="144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3.5" customHeight="1">
      <c r="A155" s="120"/>
      <c r="B155" s="143"/>
      <c r="C155" s="120"/>
      <c r="D155" s="144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3.5" customHeight="1">
      <c r="A156" s="120"/>
      <c r="B156" s="143"/>
      <c r="C156" s="120"/>
      <c r="D156" s="144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3.5" customHeight="1">
      <c r="A157" s="120"/>
      <c r="B157" s="143"/>
      <c r="C157" s="120"/>
      <c r="D157" s="144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3.5" customHeight="1">
      <c r="A158" s="120"/>
      <c r="B158" s="143"/>
      <c r="C158" s="120"/>
      <c r="D158" s="144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3.5" customHeight="1">
      <c r="A159" s="120"/>
      <c r="B159" s="143"/>
      <c r="C159" s="120"/>
      <c r="D159" s="144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3.5" customHeight="1">
      <c r="A160" s="120"/>
      <c r="B160" s="143"/>
      <c r="C160" s="120"/>
      <c r="D160" s="144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3.5" customHeight="1">
      <c r="A161" s="120"/>
      <c r="B161" s="143"/>
      <c r="C161" s="120"/>
      <c r="D161" s="144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3.5" customHeight="1">
      <c r="A162" s="120"/>
      <c r="B162" s="143"/>
      <c r="C162" s="120"/>
      <c r="D162" s="144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3.5" customHeight="1">
      <c r="A163" s="120"/>
      <c r="B163" s="143"/>
      <c r="C163" s="120"/>
      <c r="D163" s="144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3.5" customHeight="1">
      <c r="A164" s="120"/>
      <c r="B164" s="143"/>
      <c r="C164" s="120"/>
      <c r="D164" s="144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3.5" customHeight="1">
      <c r="A165" s="120"/>
      <c r="B165" s="143"/>
      <c r="C165" s="120"/>
      <c r="D165" s="144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3.5" customHeight="1">
      <c r="A166" s="120"/>
      <c r="B166" s="143"/>
      <c r="C166" s="120"/>
      <c r="D166" s="144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3.5" customHeight="1">
      <c r="A167" s="120"/>
      <c r="B167" s="143"/>
      <c r="C167" s="120"/>
      <c r="D167" s="144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3.5" customHeight="1">
      <c r="A168" s="120"/>
      <c r="B168" s="143"/>
      <c r="C168" s="120"/>
      <c r="D168" s="144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3.5" customHeight="1">
      <c r="A169" s="120"/>
      <c r="B169" s="143"/>
      <c r="C169" s="120"/>
      <c r="D169" s="144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3.5" customHeight="1">
      <c r="A170" s="120"/>
      <c r="B170" s="143"/>
      <c r="C170" s="120"/>
      <c r="D170" s="144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3.5" customHeight="1">
      <c r="A171" s="120"/>
      <c r="B171" s="143"/>
      <c r="C171" s="120"/>
      <c r="D171" s="144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3.5" customHeight="1">
      <c r="A172" s="120"/>
      <c r="B172" s="143"/>
      <c r="C172" s="120"/>
      <c r="D172" s="144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3.5" customHeight="1">
      <c r="A173" s="120"/>
      <c r="B173" s="143"/>
      <c r="C173" s="120"/>
      <c r="D173" s="144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3.5" customHeight="1">
      <c r="A174" s="120"/>
      <c r="B174" s="143"/>
      <c r="C174" s="120"/>
      <c r="D174" s="144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3.5" customHeight="1">
      <c r="A175" s="120"/>
      <c r="B175" s="143"/>
      <c r="C175" s="120"/>
      <c r="D175" s="144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3.5" customHeight="1">
      <c r="A176" s="120"/>
      <c r="B176" s="143"/>
      <c r="C176" s="120"/>
      <c r="D176" s="144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3.5" customHeight="1">
      <c r="A177" s="120"/>
      <c r="B177" s="143"/>
      <c r="C177" s="120"/>
      <c r="D177" s="144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3.5" customHeight="1">
      <c r="A178" s="120"/>
      <c r="B178" s="143"/>
      <c r="C178" s="120"/>
      <c r="D178" s="144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3.5" customHeight="1">
      <c r="A179" s="120"/>
      <c r="B179" s="143"/>
      <c r="C179" s="120"/>
      <c r="D179" s="144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3.5" customHeight="1">
      <c r="A180" s="120"/>
      <c r="B180" s="143"/>
      <c r="C180" s="120"/>
      <c r="D180" s="144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3.5" customHeight="1">
      <c r="A181" s="120"/>
      <c r="B181" s="143"/>
      <c r="C181" s="120"/>
      <c r="D181" s="144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3.5" customHeight="1">
      <c r="A182" s="120"/>
      <c r="B182" s="143"/>
      <c r="C182" s="120"/>
      <c r="D182" s="144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3.5" customHeight="1">
      <c r="A183" s="120"/>
      <c r="B183" s="143"/>
      <c r="C183" s="120"/>
      <c r="D183" s="144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3.5" customHeight="1">
      <c r="A184" s="120"/>
      <c r="B184" s="143"/>
      <c r="C184" s="120"/>
      <c r="D184" s="144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3.5" customHeight="1">
      <c r="A185" s="120"/>
      <c r="B185" s="143"/>
      <c r="C185" s="120"/>
      <c r="D185" s="144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3.5" customHeight="1">
      <c r="A186" s="120"/>
      <c r="B186" s="143"/>
      <c r="C186" s="120"/>
      <c r="D186" s="144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3.5" customHeight="1">
      <c r="A187" s="120"/>
      <c r="B187" s="143"/>
      <c r="C187" s="120"/>
      <c r="D187" s="144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3.5" customHeight="1">
      <c r="A188" s="120"/>
      <c r="B188" s="143"/>
      <c r="C188" s="120"/>
      <c r="D188" s="144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3.5" customHeight="1">
      <c r="A189" s="120"/>
      <c r="B189" s="143"/>
      <c r="C189" s="120"/>
      <c r="D189" s="144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3.5" customHeight="1">
      <c r="A190" s="120"/>
      <c r="B190" s="143"/>
      <c r="C190" s="120"/>
      <c r="D190" s="144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3.5" customHeight="1">
      <c r="A191" s="120"/>
      <c r="B191" s="143"/>
      <c r="C191" s="120"/>
      <c r="D191" s="144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3.5" customHeight="1">
      <c r="A192" s="120"/>
      <c r="B192" s="143"/>
      <c r="C192" s="120"/>
      <c r="D192" s="144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3.5" customHeight="1">
      <c r="A193" s="120"/>
      <c r="B193" s="143"/>
      <c r="C193" s="120"/>
      <c r="D193" s="144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3.5" customHeight="1">
      <c r="A194" s="120"/>
      <c r="B194" s="143"/>
      <c r="C194" s="120"/>
      <c r="D194" s="144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3.5" customHeight="1">
      <c r="A195" s="120"/>
      <c r="B195" s="143"/>
      <c r="C195" s="120"/>
      <c r="D195" s="144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3.5" customHeight="1">
      <c r="A196" s="120"/>
      <c r="B196" s="143"/>
      <c r="C196" s="120"/>
      <c r="D196" s="144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3.5" customHeight="1">
      <c r="A197" s="120"/>
      <c r="B197" s="143"/>
      <c r="C197" s="120"/>
      <c r="D197" s="144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3.5" customHeight="1">
      <c r="A198" s="120"/>
      <c r="B198" s="143"/>
      <c r="C198" s="120"/>
      <c r="D198" s="144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3.5" customHeight="1">
      <c r="A199" s="120"/>
      <c r="B199" s="143"/>
      <c r="C199" s="120"/>
      <c r="D199" s="144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3.5" customHeight="1">
      <c r="A200" s="120"/>
      <c r="B200" s="143"/>
      <c r="C200" s="120"/>
      <c r="D200" s="144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3.5" customHeight="1">
      <c r="A201" s="120"/>
      <c r="B201" s="143"/>
      <c r="C201" s="120"/>
      <c r="D201" s="144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3.5" customHeight="1">
      <c r="A202" s="120"/>
      <c r="B202" s="143"/>
      <c r="C202" s="120"/>
      <c r="D202" s="144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3.5" customHeight="1">
      <c r="A203" s="120"/>
      <c r="B203" s="143"/>
      <c r="C203" s="120"/>
      <c r="D203" s="144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3.5" customHeight="1">
      <c r="A204" s="120"/>
      <c r="B204" s="143"/>
      <c r="C204" s="120"/>
      <c r="D204" s="144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3.5" customHeight="1">
      <c r="A205" s="120"/>
      <c r="B205" s="143"/>
      <c r="C205" s="120"/>
      <c r="D205" s="144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3.5" customHeight="1">
      <c r="A206" s="120"/>
      <c r="B206" s="143"/>
      <c r="C206" s="120"/>
      <c r="D206" s="144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3.5" customHeight="1">
      <c r="A207" s="120"/>
      <c r="B207" s="143"/>
      <c r="C207" s="120"/>
      <c r="D207" s="144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3.5" customHeight="1">
      <c r="A208" s="120"/>
      <c r="B208" s="143"/>
      <c r="C208" s="120"/>
      <c r="D208" s="144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3.5" customHeight="1">
      <c r="A209" s="120"/>
      <c r="B209" s="143"/>
      <c r="C209" s="120"/>
      <c r="D209" s="144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3.5" customHeight="1">
      <c r="A210" s="120"/>
      <c r="B210" s="143"/>
      <c r="C210" s="120"/>
      <c r="D210" s="144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3.5" customHeight="1">
      <c r="A211" s="120"/>
      <c r="B211" s="143"/>
      <c r="C211" s="120"/>
      <c r="D211" s="144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3.5" customHeight="1">
      <c r="A212" s="120"/>
      <c r="B212" s="143"/>
      <c r="C212" s="120"/>
      <c r="D212" s="144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3.5" customHeight="1">
      <c r="A213" s="120"/>
      <c r="B213" s="143"/>
      <c r="C213" s="120"/>
      <c r="D213" s="144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3.5" customHeight="1">
      <c r="A214" s="120"/>
      <c r="B214" s="143"/>
      <c r="C214" s="120"/>
      <c r="D214" s="144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3.5" customHeight="1">
      <c r="A215" s="120"/>
      <c r="B215" s="143"/>
      <c r="C215" s="120"/>
      <c r="D215" s="144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3.5" customHeight="1">
      <c r="A216" s="120"/>
      <c r="B216" s="143"/>
      <c r="C216" s="120"/>
      <c r="D216" s="144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3.5" customHeight="1">
      <c r="A217" s="120"/>
      <c r="B217" s="143"/>
      <c r="C217" s="120"/>
      <c r="D217" s="144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3.5" customHeight="1">
      <c r="A218" s="120"/>
      <c r="B218" s="143"/>
      <c r="C218" s="120"/>
      <c r="D218" s="144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3.5" customHeight="1">
      <c r="A219" s="120"/>
      <c r="B219" s="143"/>
      <c r="C219" s="120"/>
      <c r="D219" s="144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3.5" customHeight="1">
      <c r="A220" s="120"/>
      <c r="B220" s="143"/>
      <c r="C220" s="120"/>
      <c r="D220" s="144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3.5" customHeight="1">
      <c r="A221" s="120"/>
      <c r="B221" s="143"/>
      <c r="C221" s="120"/>
      <c r="D221" s="144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3.5" customHeight="1">
      <c r="A222" s="120"/>
      <c r="B222" s="143"/>
      <c r="C222" s="120"/>
      <c r="D222" s="144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3.5" customHeight="1">
      <c r="A223" s="120"/>
      <c r="B223" s="143"/>
      <c r="C223" s="120"/>
      <c r="D223" s="144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3.5" customHeight="1">
      <c r="A224" s="120"/>
      <c r="B224" s="143"/>
      <c r="C224" s="120"/>
      <c r="D224" s="144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3.5" customHeight="1">
      <c r="A225" s="120"/>
      <c r="B225" s="143"/>
      <c r="C225" s="120"/>
      <c r="D225" s="144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3.5" customHeight="1">
      <c r="A226" s="120"/>
      <c r="B226" s="143"/>
      <c r="C226" s="120"/>
      <c r="D226" s="144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3.5" customHeight="1">
      <c r="A227" s="120"/>
      <c r="B227" s="143"/>
      <c r="C227" s="120"/>
      <c r="D227" s="144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3.5" customHeight="1">
      <c r="A228" s="120"/>
      <c r="B228" s="143"/>
      <c r="C228" s="120"/>
      <c r="D228" s="144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3.5" customHeight="1">
      <c r="A229" s="120"/>
      <c r="B229" s="143"/>
      <c r="C229" s="120"/>
      <c r="D229" s="144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3.5" customHeight="1">
      <c r="A230" s="120"/>
      <c r="B230" s="143"/>
      <c r="C230" s="120"/>
      <c r="D230" s="144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3.5" customHeight="1">
      <c r="A231" s="120"/>
      <c r="B231" s="143"/>
      <c r="C231" s="120"/>
      <c r="D231" s="144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3.5" customHeight="1">
      <c r="A232" s="120"/>
      <c r="B232" s="143"/>
      <c r="C232" s="120"/>
      <c r="D232" s="144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3.5" customHeight="1">
      <c r="A233" s="120"/>
      <c r="B233" s="143"/>
      <c r="C233" s="120"/>
      <c r="D233" s="144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3.5" customHeight="1">
      <c r="A234" s="120"/>
      <c r="B234" s="143"/>
      <c r="C234" s="120"/>
      <c r="D234" s="144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3.5" customHeight="1">
      <c r="A235" s="120"/>
      <c r="B235" s="143"/>
      <c r="C235" s="120"/>
      <c r="D235" s="144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3.5" customHeight="1">
      <c r="A236" s="120"/>
      <c r="B236" s="143"/>
      <c r="C236" s="120"/>
      <c r="D236" s="144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3.5" customHeight="1">
      <c r="A237" s="120"/>
      <c r="B237" s="143"/>
      <c r="C237" s="120"/>
      <c r="D237" s="144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3.5" customHeight="1">
      <c r="A238" s="120"/>
      <c r="B238" s="143"/>
      <c r="C238" s="120"/>
      <c r="D238" s="144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3.5" customHeight="1">
      <c r="A239" s="120"/>
      <c r="B239" s="143"/>
      <c r="C239" s="120"/>
      <c r="D239" s="144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3.5" customHeight="1">
      <c r="A240" s="120"/>
      <c r="B240" s="143"/>
      <c r="C240" s="120"/>
      <c r="D240" s="144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3.5" customHeight="1">
      <c r="A241" s="120"/>
      <c r="B241" s="143"/>
      <c r="C241" s="120"/>
      <c r="D241" s="144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3.5" customHeight="1">
      <c r="A242" s="120"/>
      <c r="B242" s="143"/>
      <c r="C242" s="120"/>
      <c r="D242" s="144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3.5" customHeight="1">
      <c r="A243" s="120"/>
      <c r="B243" s="143"/>
      <c r="C243" s="120"/>
      <c r="D243" s="144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3.5" customHeight="1">
      <c r="A244" s="120"/>
      <c r="B244" s="143"/>
      <c r="C244" s="120"/>
      <c r="D244" s="144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3.5" customHeight="1">
      <c r="A245" s="120"/>
      <c r="B245" s="143"/>
      <c r="C245" s="120"/>
      <c r="D245" s="144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3.5" customHeight="1">
      <c r="A246" s="120"/>
      <c r="B246" s="143"/>
      <c r="C246" s="120"/>
      <c r="D246" s="144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3.5" customHeight="1">
      <c r="A247" s="120"/>
      <c r="B247" s="143"/>
      <c r="C247" s="120"/>
      <c r="D247" s="144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3.5" customHeight="1">
      <c r="A248" s="120"/>
      <c r="B248" s="143"/>
      <c r="C248" s="120"/>
      <c r="D248" s="144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3.5" customHeight="1">
      <c r="A249" s="120"/>
      <c r="B249" s="143"/>
      <c r="C249" s="120"/>
      <c r="D249" s="144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3.5" customHeight="1">
      <c r="A250" s="120"/>
      <c r="B250" s="143"/>
      <c r="C250" s="120"/>
      <c r="D250" s="144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3.5" customHeight="1">
      <c r="A251" s="120"/>
      <c r="B251" s="143"/>
      <c r="C251" s="120"/>
      <c r="D251" s="144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3.5" customHeight="1">
      <c r="A252" s="120"/>
      <c r="B252" s="143"/>
      <c r="C252" s="120"/>
      <c r="D252" s="144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3.5" customHeight="1">
      <c r="A253" s="120"/>
      <c r="B253" s="143"/>
      <c r="C253" s="120"/>
      <c r="D253" s="144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3.5" customHeight="1">
      <c r="A254" s="120"/>
      <c r="B254" s="143"/>
      <c r="C254" s="120"/>
      <c r="D254" s="144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3.5" customHeight="1">
      <c r="A255" s="120"/>
      <c r="B255" s="143"/>
      <c r="C255" s="120"/>
      <c r="D255" s="144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3.5" customHeight="1">
      <c r="A256" s="120"/>
      <c r="B256" s="143"/>
      <c r="C256" s="120"/>
      <c r="D256" s="144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3.5" customHeight="1">
      <c r="A257" s="120"/>
      <c r="B257" s="143"/>
      <c r="C257" s="120"/>
      <c r="D257" s="144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3.5" customHeight="1">
      <c r="A258" s="120"/>
      <c r="B258" s="143"/>
      <c r="C258" s="120"/>
      <c r="D258" s="144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3.5" customHeight="1">
      <c r="A259" s="120"/>
      <c r="B259" s="143"/>
      <c r="C259" s="120"/>
      <c r="D259" s="144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3.5" customHeight="1">
      <c r="A260" s="120"/>
      <c r="B260" s="143"/>
      <c r="C260" s="120"/>
      <c r="D260" s="144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3.5" customHeight="1">
      <c r="A261" s="120"/>
      <c r="B261" s="143"/>
      <c r="C261" s="120"/>
      <c r="D261" s="144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3.5" customHeight="1">
      <c r="A262" s="120"/>
      <c r="B262" s="143"/>
      <c r="C262" s="120"/>
      <c r="D262" s="144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3.5" customHeight="1">
      <c r="A263" s="120"/>
      <c r="B263" s="143"/>
      <c r="C263" s="120"/>
      <c r="D263" s="144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3.5" customHeight="1">
      <c r="A264" s="120"/>
      <c r="B264" s="143"/>
      <c r="C264" s="120"/>
      <c r="D264" s="144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3.5" customHeight="1">
      <c r="A265" s="120"/>
      <c r="B265" s="143"/>
      <c r="C265" s="120"/>
      <c r="D265" s="144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3.5" customHeight="1">
      <c r="A266" s="120"/>
      <c r="B266" s="143"/>
      <c r="C266" s="120"/>
      <c r="D266" s="144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3.5" customHeight="1">
      <c r="A267" s="120"/>
      <c r="B267" s="143"/>
      <c r="C267" s="120"/>
      <c r="D267" s="144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3.5" customHeight="1">
      <c r="A268" s="120"/>
      <c r="B268" s="143"/>
      <c r="C268" s="120"/>
      <c r="D268" s="144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3.5" customHeight="1">
      <c r="A269" s="120"/>
      <c r="B269" s="143"/>
      <c r="C269" s="120"/>
      <c r="D269" s="144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3.5" customHeight="1">
      <c r="A270" s="120"/>
      <c r="B270" s="143"/>
      <c r="C270" s="120"/>
      <c r="D270" s="144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3.5" customHeight="1">
      <c r="A271" s="120"/>
      <c r="B271" s="143"/>
      <c r="C271" s="120"/>
      <c r="D271" s="144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3.5" customHeight="1">
      <c r="A272" s="120"/>
      <c r="B272" s="143"/>
      <c r="C272" s="120"/>
      <c r="D272" s="144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3.5" customHeight="1">
      <c r="A273" s="120"/>
      <c r="B273" s="143"/>
      <c r="C273" s="120"/>
      <c r="D273" s="144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3.5" customHeight="1">
      <c r="A274" s="120"/>
      <c r="B274" s="143"/>
      <c r="C274" s="120"/>
      <c r="D274" s="144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3.5" customHeight="1">
      <c r="A275" s="120"/>
      <c r="B275" s="143"/>
      <c r="C275" s="120"/>
      <c r="D275" s="144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3.5" customHeight="1">
      <c r="A276" s="120"/>
      <c r="B276" s="143"/>
      <c r="C276" s="120"/>
      <c r="D276" s="144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3.5" customHeight="1">
      <c r="A277" s="120"/>
      <c r="B277" s="143"/>
      <c r="C277" s="120"/>
      <c r="D277" s="144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3.5" customHeight="1">
      <c r="A278" s="120"/>
      <c r="B278" s="143"/>
      <c r="C278" s="120"/>
      <c r="D278" s="144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3.5" customHeight="1">
      <c r="A279" s="120"/>
      <c r="B279" s="143"/>
      <c r="C279" s="120"/>
      <c r="D279" s="144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3.5" customHeight="1">
      <c r="A280" s="120"/>
      <c r="B280" s="143"/>
      <c r="C280" s="120"/>
      <c r="D280" s="144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3.5" customHeight="1">
      <c r="A281" s="120"/>
      <c r="B281" s="143"/>
      <c r="C281" s="120"/>
      <c r="D281" s="144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3.5" customHeight="1">
      <c r="A282" s="120"/>
      <c r="B282" s="143"/>
      <c r="C282" s="120"/>
      <c r="D282" s="144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3.5" customHeight="1">
      <c r="A283" s="120"/>
      <c r="B283" s="143"/>
      <c r="C283" s="120"/>
      <c r="D283" s="144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3.5" customHeight="1">
      <c r="A284" s="120"/>
      <c r="B284" s="143"/>
      <c r="C284" s="120"/>
      <c r="D284" s="144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3.5" customHeight="1">
      <c r="A285" s="120"/>
      <c r="B285" s="143"/>
      <c r="C285" s="120"/>
      <c r="D285" s="144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3.5" customHeight="1">
      <c r="A286" s="120"/>
      <c r="B286" s="143"/>
      <c r="C286" s="120"/>
      <c r="D286" s="144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3.5" customHeight="1">
      <c r="A287" s="120"/>
      <c r="B287" s="143"/>
      <c r="C287" s="120"/>
      <c r="D287" s="144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3.5" customHeight="1">
      <c r="A288" s="120"/>
      <c r="B288" s="143"/>
      <c r="C288" s="120"/>
      <c r="D288" s="144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3.5" customHeight="1">
      <c r="A289" s="120"/>
      <c r="B289" s="143"/>
      <c r="C289" s="120"/>
      <c r="D289" s="144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3.5" customHeight="1">
      <c r="A290" s="120"/>
      <c r="B290" s="143"/>
      <c r="C290" s="120"/>
      <c r="D290" s="144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3.5" customHeight="1">
      <c r="A291" s="120"/>
      <c r="B291" s="143"/>
      <c r="C291" s="120"/>
      <c r="D291" s="144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3.5" customHeight="1">
      <c r="A292" s="120"/>
      <c r="B292" s="143"/>
      <c r="C292" s="120"/>
      <c r="D292" s="144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3.5" customHeight="1">
      <c r="A293" s="120"/>
      <c r="B293" s="143"/>
      <c r="C293" s="120"/>
      <c r="D293" s="144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3.5" customHeight="1">
      <c r="A294" s="120"/>
      <c r="B294" s="143"/>
      <c r="C294" s="120"/>
      <c r="D294" s="144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3.5" customHeight="1">
      <c r="A295" s="120"/>
      <c r="B295" s="143"/>
      <c r="C295" s="120"/>
      <c r="D295" s="144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3.5" customHeight="1">
      <c r="A296" s="120"/>
      <c r="B296" s="143"/>
      <c r="C296" s="120"/>
      <c r="D296" s="144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3.5" customHeight="1">
      <c r="A297" s="120"/>
      <c r="B297" s="143"/>
      <c r="C297" s="120"/>
      <c r="D297" s="144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3.5" customHeight="1">
      <c r="A298" s="120"/>
      <c r="B298" s="143"/>
      <c r="C298" s="120"/>
      <c r="D298" s="144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3.5" customHeight="1">
      <c r="A299" s="120"/>
      <c r="B299" s="143"/>
      <c r="C299" s="120"/>
      <c r="D299" s="144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3.5" customHeight="1">
      <c r="A300" s="120"/>
      <c r="B300" s="143"/>
      <c r="C300" s="120"/>
      <c r="D300" s="144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3.5" customHeight="1">
      <c r="A301" s="120"/>
      <c r="B301" s="143"/>
      <c r="C301" s="120"/>
      <c r="D301" s="144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3.5" customHeight="1">
      <c r="A302" s="120"/>
      <c r="B302" s="143"/>
      <c r="C302" s="120"/>
      <c r="D302" s="144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3.5" customHeight="1">
      <c r="A303" s="120"/>
      <c r="B303" s="143"/>
      <c r="C303" s="120"/>
      <c r="D303" s="144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3.5" customHeight="1">
      <c r="A304" s="120"/>
      <c r="B304" s="143"/>
      <c r="C304" s="120"/>
      <c r="D304" s="144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3.5" customHeight="1">
      <c r="A305" s="120"/>
      <c r="B305" s="143"/>
      <c r="C305" s="120"/>
      <c r="D305" s="144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3.5" customHeight="1">
      <c r="A306" s="120"/>
      <c r="B306" s="143"/>
      <c r="C306" s="120"/>
      <c r="D306" s="144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3.5" customHeight="1">
      <c r="A307" s="120"/>
      <c r="B307" s="143"/>
      <c r="C307" s="120"/>
      <c r="D307" s="144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3.5" customHeight="1">
      <c r="A308" s="120"/>
      <c r="B308" s="143"/>
      <c r="C308" s="120"/>
      <c r="D308" s="144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3.5" customHeight="1">
      <c r="A309" s="120"/>
      <c r="B309" s="143"/>
      <c r="C309" s="120"/>
      <c r="D309" s="144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3.5" customHeight="1">
      <c r="A310" s="120"/>
      <c r="B310" s="143"/>
      <c r="C310" s="120"/>
      <c r="D310" s="144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3.5" customHeight="1">
      <c r="A311" s="120"/>
      <c r="B311" s="143"/>
      <c r="C311" s="120"/>
      <c r="D311" s="144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3.5" customHeight="1">
      <c r="A312" s="120"/>
      <c r="B312" s="143"/>
      <c r="C312" s="120"/>
      <c r="D312" s="144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3.5" customHeight="1">
      <c r="A313" s="120"/>
      <c r="B313" s="143"/>
      <c r="C313" s="120"/>
      <c r="D313" s="144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3.5" customHeight="1">
      <c r="A314" s="120"/>
      <c r="B314" s="143"/>
      <c r="C314" s="120"/>
      <c r="D314" s="144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3.5" customHeight="1">
      <c r="A315" s="120"/>
      <c r="B315" s="143"/>
      <c r="C315" s="120"/>
      <c r="D315" s="144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3.5" customHeight="1">
      <c r="A316" s="120"/>
      <c r="B316" s="143"/>
      <c r="C316" s="120"/>
      <c r="D316" s="144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3.5" customHeight="1">
      <c r="A317" s="120"/>
      <c r="B317" s="143"/>
      <c r="C317" s="120"/>
      <c r="D317" s="144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3.5" customHeight="1">
      <c r="A318" s="120"/>
      <c r="B318" s="143"/>
      <c r="C318" s="120"/>
      <c r="D318" s="144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3.5" customHeight="1">
      <c r="A319" s="120"/>
      <c r="B319" s="143"/>
      <c r="C319" s="120"/>
      <c r="D319" s="144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3.5" customHeight="1">
      <c r="A320" s="120"/>
      <c r="B320" s="143"/>
      <c r="C320" s="120"/>
      <c r="D320" s="144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3.5" customHeight="1">
      <c r="A321" s="120"/>
      <c r="B321" s="143"/>
      <c r="C321" s="120"/>
      <c r="D321" s="144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3.5" customHeight="1">
      <c r="A322" s="120"/>
      <c r="B322" s="143"/>
      <c r="C322" s="120"/>
      <c r="D322" s="144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3.5" customHeight="1">
      <c r="A323" s="120"/>
      <c r="B323" s="143"/>
      <c r="C323" s="120"/>
      <c r="D323" s="144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3.5" customHeight="1">
      <c r="A324" s="120"/>
      <c r="B324" s="143"/>
      <c r="C324" s="120"/>
      <c r="D324" s="144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3.5" customHeight="1">
      <c r="A325" s="120"/>
      <c r="B325" s="143"/>
      <c r="C325" s="120"/>
      <c r="D325" s="144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3.5" customHeight="1">
      <c r="A326" s="120"/>
      <c r="B326" s="143"/>
      <c r="C326" s="120"/>
      <c r="D326" s="144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3.5" customHeight="1">
      <c r="A327" s="120"/>
      <c r="B327" s="143"/>
      <c r="C327" s="120"/>
      <c r="D327" s="144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3.5" customHeight="1">
      <c r="A328" s="120"/>
      <c r="B328" s="143"/>
      <c r="C328" s="120"/>
      <c r="D328" s="144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3.5" customHeight="1">
      <c r="A329" s="120"/>
      <c r="B329" s="143"/>
      <c r="C329" s="120"/>
      <c r="D329" s="144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3.5" customHeight="1">
      <c r="A330" s="120"/>
      <c r="B330" s="143"/>
      <c r="C330" s="120"/>
      <c r="D330" s="144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3.5" customHeight="1">
      <c r="A331" s="120"/>
      <c r="B331" s="143"/>
      <c r="C331" s="120"/>
      <c r="D331" s="144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3.5" customHeight="1">
      <c r="A332" s="120"/>
      <c r="B332" s="143"/>
      <c r="C332" s="120"/>
      <c r="D332" s="144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3.5" customHeight="1">
      <c r="A333" s="120"/>
      <c r="B333" s="143"/>
      <c r="C333" s="120"/>
      <c r="D333" s="144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3.5" customHeight="1">
      <c r="A334" s="120"/>
      <c r="B334" s="143"/>
      <c r="C334" s="120"/>
      <c r="D334" s="144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3.5" customHeight="1">
      <c r="A335" s="120"/>
      <c r="B335" s="143"/>
      <c r="C335" s="120"/>
      <c r="D335" s="144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3.5" customHeight="1">
      <c r="A336" s="120"/>
      <c r="B336" s="143"/>
      <c r="C336" s="120"/>
      <c r="D336" s="144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3.5" customHeight="1">
      <c r="A337" s="120"/>
      <c r="B337" s="143"/>
      <c r="C337" s="120"/>
      <c r="D337" s="144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3.5" customHeight="1">
      <c r="A338" s="120"/>
      <c r="B338" s="143"/>
      <c r="C338" s="120"/>
      <c r="D338" s="144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3.5" customHeight="1">
      <c r="A339" s="120"/>
      <c r="B339" s="143"/>
      <c r="C339" s="120"/>
      <c r="D339" s="144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3.5" customHeight="1">
      <c r="A340" s="120"/>
      <c r="B340" s="143"/>
      <c r="C340" s="120"/>
      <c r="D340" s="144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3.5" customHeight="1">
      <c r="A341" s="120"/>
      <c r="B341" s="143"/>
      <c r="C341" s="120"/>
      <c r="D341" s="144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13.5" customHeight="1">
      <c r="A342" s="120"/>
      <c r="B342" s="143"/>
      <c r="C342" s="120"/>
      <c r="D342" s="144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13.5" customHeight="1">
      <c r="A343" s="120"/>
      <c r="B343" s="143"/>
      <c r="C343" s="120"/>
      <c r="D343" s="144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13.5" customHeight="1">
      <c r="A344" s="120"/>
      <c r="B344" s="143"/>
      <c r="C344" s="120"/>
      <c r="D344" s="144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13.5" customHeight="1">
      <c r="A345" s="120"/>
      <c r="B345" s="143"/>
      <c r="C345" s="120"/>
      <c r="D345" s="144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13.5" customHeight="1">
      <c r="A346" s="120"/>
      <c r="B346" s="143"/>
      <c r="C346" s="120"/>
      <c r="D346" s="144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13.5" customHeight="1">
      <c r="A347" s="120"/>
      <c r="B347" s="143"/>
      <c r="C347" s="120"/>
      <c r="D347" s="144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13.5" customHeight="1">
      <c r="A348" s="120"/>
      <c r="B348" s="143"/>
      <c r="C348" s="120"/>
      <c r="D348" s="144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13.5" customHeight="1">
      <c r="A349" s="120"/>
      <c r="B349" s="143"/>
      <c r="C349" s="120"/>
      <c r="D349" s="144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13.5" customHeight="1">
      <c r="A350" s="120"/>
      <c r="B350" s="143"/>
      <c r="C350" s="120"/>
      <c r="D350" s="144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13.5" customHeight="1">
      <c r="A351" s="120"/>
      <c r="B351" s="143"/>
      <c r="C351" s="120"/>
      <c r="D351" s="144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13.5" customHeight="1">
      <c r="A352" s="120"/>
      <c r="B352" s="143"/>
      <c r="C352" s="120"/>
      <c r="D352" s="144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13.5" customHeight="1">
      <c r="A353" s="120"/>
      <c r="B353" s="143"/>
      <c r="C353" s="120"/>
      <c r="D353" s="144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13.5" customHeight="1">
      <c r="A354" s="120"/>
      <c r="B354" s="143"/>
      <c r="C354" s="120"/>
      <c r="D354" s="144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13.5" customHeight="1">
      <c r="A355" s="120"/>
      <c r="B355" s="143"/>
      <c r="C355" s="120"/>
      <c r="D355" s="144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13.5" customHeight="1">
      <c r="A356" s="120"/>
      <c r="B356" s="143"/>
      <c r="C356" s="120"/>
      <c r="D356" s="144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13.5" customHeight="1">
      <c r="A357" s="120"/>
      <c r="B357" s="143"/>
      <c r="C357" s="120"/>
      <c r="D357" s="144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13.5" customHeight="1">
      <c r="A358" s="120"/>
      <c r="B358" s="143"/>
      <c r="C358" s="120"/>
      <c r="D358" s="144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13.5" customHeight="1">
      <c r="A359" s="120"/>
      <c r="B359" s="143"/>
      <c r="C359" s="120"/>
      <c r="D359" s="144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13.5" customHeight="1">
      <c r="A360" s="120"/>
      <c r="B360" s="143"/>
      <c r="C360" s="120"/>
      <c r="D360" s="144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13.5" customHeight="1">
      <c r="A361" s="120"/>
      <c r="B361" s="143"/>
      <c r="C361" s="120"/>
      <c r="D361" s="144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ht="13.5" customHeight="1">
      <c r="A362" s="120"/>
      <c r="B362" s="143"/>
      <c r="C362" s="120"/>
      <c r="D362" s="144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ht="13.5" customHeight="1">
      <c r="A363" s="120"/>
      <c r="B363" s="143"/>
      <c r="C363" s="120"/>
      <c r="D363" s="144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ht="13.5" customHeight="1">
      <c r="A364" s="120"/>
      <c r="B364" s="143"/>
      <c r="C364" s="120"/>
      <c r="D364" s="144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ht="13.5" customHeight="1">
      <c r="A365" s="120"/>
      <c r="B365" s="143"/>
      <c r="C365" s="120"/>
      <c r="D365" s="144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ht="13.5" customHeight="1">
      <c r="A366" s="120"/>
      <c r="B366" s="143"/>
      <c r="C366" s="120"/>
      <c r="D366" s="144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ht="13.5" customHeight="1">
      <c r="A367" s="120"/>
      <c r="B367" s="143"/>
      <c r="C367" s="120"/>
      <c r="D367" s="144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ht="13.5" customHeight="1">
      <c r="A368" s="120"/>
      <c r="B368" s="143"/>
      <c r="C368" s="120"/>
      <c r="D368" s="144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ht="13.5" customHeight="1">
      <c r="A369" s="120"/>
      <c r="B369" s="143"/>
      <c r="C369" s="120"/>
      <c r="D369" s="144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ht="13.5" customHeight="1">
      <c r="A370" s="120"/>
      <c r="B370" s="143"/>
      <c r="C370" s="120"/>
      <c r="D370" s="144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ht="13.5" customHeight="1">
      <c r="A371" s="120"/>
      <c r="B371" s="143"/>
      <c r="C371" s="120"/>
      <c r="D371" s="144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ht="13.5" customHeight="1">
      <c r="A372" s="120"/>
      <c r="B372" s="143"/>
      <c r="C372" s="120"/>
      <c r="D372" s="144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ht="13.5" customHeight="1">
      <c r="A373" s="120"/>
      <c r="B373" s="143"/>
      <c r="C373" s="120"/>
      <c r="D373" s="144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ht="13.5" customHeight="1">
      <c r="A374" s="120"/>
      <c r="B374" s="143"/>
      <c r="C374" s="120"/>
      <c r="D374" s="144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ht="13.5" customHeight="1">
      <c r="A375" s="120"/>
      <c r="B375" s="143"/>
      <c r="C375" s="120"/>
      <c r="D375" s="144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ht="13.5" customHeight="1">
      <c r="A376" s="120"/>
      <c r="B376" s="143"/>
      <c r="C376" s="120"/>
      <c r="D376" s="144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ht="13.5" customHeight="1">
      <c r="A377" s="120"/>
      <c r="B377" s="143"/>
      <c r="C377" s="120"/>
      <c r="D377" s="144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ht="13.5" customHeight="1">
      <c r="A378" s="120"/>
      <c r="B378" s="143"/>
      <c r="C378" s="120"/>
      <c r="D378" s="144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ht="13.5" customHeight="1">
      <c r="A379" s="120"/>
      <c r="B379" s="143"/>
      <c r="C379" s="120"/>
      <c r="D379" s="144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ht="13.5" customHeight="1">
      <c r="A380" s="120"/>
      <c r="B380" s="143"/>
      <c r="C380" s="120"/>
      <c r="D380" s="144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ht="13.5" customHeight="1">
      <c r="A381" s="120"/>
      <c r="B381" s="143"/>
      <c r="C381" s="120"/>
      <c r="D381" s="144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ht="13.5" customHeight="1">
      <c r="A382" s="120"/>
      <c r="B382" s="143"/>
      <c r="C382" s="120"/>
      <c r="D382" s="144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ht="13.5" customHeight="1">
      <c r="A383" s="120"/>
      <c r="B383" s="143"/>
      <c r="C383" s="120"/>
      <c r="D383" s="144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ht="13.5" customHeight="1">
      <c r="A384" s="120"/>
      <c r="B384" s="143"/>
      <c r="C384" s="120"/>
      <c r="D384" s="144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ht="13.5" customHeight="1">
      <c r="A385" s="120"/>
      <c r="B385" s="143"/>
      <c r="C385" s="120"/>
      <c r="D385" s="144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ht="13.5" customHeight="1">
      <c r="A386" s="120"/>
      <c r="B386" s="143"/>
      <c r="C386" s="120"/>
      <c r="D386" s="144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ht="13.5" customHeight="1">
      <c r="A387" s="120"/>
      <c r="B387" s="143"/>
      <c r="C387" s="120"/>
      <c r="D387" s="144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ht="13.5" customHeight="1">
      <c r="A388" s="120"/>
      <c r="B388" s="143"/>
      <c r="C388" s="120"/>
      <c r="D388" s="144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ht="13.5" customHeight="1">
      <c r="A389" s="120"/>
      <c r="B389" s="143"/>
      <c r="C389" s="120"/>
      <c r="D389" s="144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ht="13.5" customHeight="1">
      <c r="A390" s="120"/>
      <c r="B390" s="143"/>
      <c r="C390" s="120"/>
      <c r="D390" s="144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ht="13.5" customHeight="1">
      <c r="A391" s="120"/>
      <c r="B391" s="143"/>
      <c r="C391" s="120"/>
      <c r="D391" s="144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ht="13.5" customHeight="1">
      <c r="A392" s="120"/>
      <c r="B392" s="143"/>
      <c r="C392" s="120"/>
      <c r="D392" s="144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ht="13.5" customHeight="1">
      <c r="A393" s="120"/>
      <c r="B393" s="143"/>
      <c r="C393" s="120"/>
      <c r="D393" s="144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 ht="13.5" customHeight="1">
      <c r="A394" s="120"/>
      <c r="B394" s="143"/>
      <c r="C394" s="120"/>
      <c r="D394" s="144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 ht="13.5" customHeight="1">
      <c r="A395" s="120"/>
      <c r="B395" s="143"/>
      <c r="C395" s="120"/>
      <c r="D395" s="144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 ht="13.5" customHeight="1">
      <c r="A396" s="120"/>
      <c r="B396" s="143"/>
      <c r="C396" s="120"/>
      <c r="D396" s="144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 ht="13.5" customHeight="1">
      <c r="A397" s="120"/>
      <c r="B397" s="143"/>
      <c r="C397" s="120"/>
      <c r="D397" s="144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 ht="13.5" customHeight="1">
      <c r="A398" s="120"/>
      <c r="B398" s="143"/>
      <c r="C398" s="120"/>
      <c r="D398" s="144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 ht="13.5" customHeight="1">
      <c r="A399" s="120"/>
      <c r="B399" s="143"/>
      <c r="C399" s="120"/>
      <c r="D399" s="144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ht="13.5" customHeight="1">
      <c r="A400" s="120"/>
      <c r="B400" s="143"/>
      <c r="C400" s="120"/>
      <c r="D400" s="144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 ht="13.5" customHeight="1">
      <c r="A401" s="120"/>
      <c r="B401" s="143"/>
      <c r="C401" s="120"/>
      <c r="D401" s="144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 ht="13.5" customHeight="1">
      <c r="A402" s="120"/>
      <c r="B402" s="143"/>
      <c r="C402" s="120"/>
      <c r="D402" s="144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 ht="13.5" customHeight="1">
      <c r="A403" s="120"/>
      <c r="B403" s="143"/>
      <c r="C403" s="120"/>
      <c r="D403" s="144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 ht="13.5" customHeight="1">
      <c r="A404" s="120"/>
      <c r="B404" s="143"/>
      <c r="C404" s="120"/>
      <c r="D404" s="144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 ht="13.5" customHeight="1">
      <c r="A405" s="120"/>
      <c r="B405" s="143"/>
      <c r="C405" s="120"/>
      <c r="D405" s="144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 ht="13.5" customHeight="1">
      <c r="A406" s="120"/>
      <c r="B406" s="143"/>
      <c r="C406" s="120"/>
      <c r="D406" s="144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 ht="13.5" customHeight="1">
      <c r="A407" s="120"/>
      <c r="B407" s="143"/>
      <c r="C407" s="120"/>
      <c r="D407" s="144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 ht="13.5" customHeight="1">
      <c r="A408" s="120"/>
      <c r="B408" s="143"/>
      <c r="C408" s="120"/>
      <c r="D408" s="144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 ht="13.5" customHeight="1">
      <c r="A409" s="120"/>
      <c r="B409" s="143"/>
      <c r="C409" s="120"/>
      <c r="D409" s="144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 ht="13.5" customHeight="1">
      <c r="A410" s="120"/>
      <c r="B410" s="143"/>
      <c r="C410" s="120"/>
      <c r="D410" s="144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 ht="13.5" customHeight="1">
      <c r="A411" s="120"/>
      <c r="B411" s="143"/>
      <c r="C411" s="120"/>
      <c r="D411" s="144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 ht="13.5" customHeight="1">
      <c r="A412" s="120"/>
      <c r="B412" s="143"/>
      <c r="C412" s="120"/>
      <c r="D412" s="144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 ht="13.5" customHeight="1">
      <c r="A413" s="120"/>
      <c r="B413" s="143"/>
      <c r="C413" s="120"/>
      <c r="D413" s="144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 ht="13.5" customHeight="1">
      <c r="A414" s="120"/>
      <c r="B414" s="143"/>
      <c r="C414" s="120"/>
      <c r="D414" s="144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 ht="13.5" customHeight="1">
      <c r="A415" s="120"/>
      <c r="B415" s="143"/>
      <c r="C415" s="120"/>
      <c r="D415" s="144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 ht="13.5" customHeight="1">
      <c r="A416" s="120"/>
      <c r="B416" s="143"/>
      <c r="C416" s="120"/>
      <c r="D416" s="144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 ht="13.5" customHeight="1">
      <c r="A417" s="120"/>
      <c r="B417" s="143"/>
      <c r="C417" s="120"/>
      <c r="D417" s="144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 ht="13.5" customHeight="1">
      <c r="A418" s="120"/>
      <c r="B418" s="143"/>
      <c r="C418" s="120"/>
      <c r="D418" s="144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 ht="13.5" customHeight="1">
      <c r="A419" s="120"/>
      <c r="B419" s="143"/>
      <c r="C419" s="120"/>
      <c r="D419" s="144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 ht="13.5" customHeight="1">
      <c r="A420" s="120"/>
      <c r="B420" s="143"/>
      <c r="C420" s="120"/>
      <c r="D420" s="144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 ht="13.5" customHeight="1">
      <c r="A421" s="120"/>
      <c r="B421" s="143"/>
      <c r="C421" s="120"/>
      <c r="D421" s="144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 ht="13.5" customHeight="1">
      <c r="A422" s="120"/>
      <c r="B422" s="143"/>
      <c r="C422" s="120"/>
      <c r="D422" s="144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 ht="13.5" customHeight="1">
      <c r="A423" s="120"/>
      <c r="B423" s="143"/>
      <c r="C423" s="120"/>
      <c r="D423" s="144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 ht="13.5" customHeight="1">
      <c r="A424" s="120"/>
      <c r="B424" s="143"/>
      <c r="C424" s="120"/>
      <c r="D424" s="144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 ht="13.5" customHeight="1">
      <c r="A425" s="120"/>
      <c r="B425" s="143"/>
      <c r="C425" s="120"/>
      <c r="D425" s="144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 ht="13.5" customHeight="1">
      <c r="A426" s="120"/>
      <c r="B426" s="143"/>
      <c r="C426" s="120"/>
      <c r="D426" s="144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 ht="13.5" customHeight="1">
      <c r="A427" s="120"/>
      <c r="B427" s="143"/>
      <c r="C427" s="120"/>
      <c r="D427" s="144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 ht="13.5" customHeight="1">
      <c r="A428" s="120"/>
      <c r="B428" s="143"/>
      <c r="C428" s="120"/>
      <c r="D428" s="144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 ht="13.5" customHeight="1">
      <c r="A429" s="120"/>
      <c r="B429" s="143"/>
      <c r="C429" s="120"/>
      <c r="D429" s="144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 ht="13.5" customHeight="1">
      <c r="A430" s="120"/>
      <c r="B430" s="143"/>
      <c r="C430" s="120"/>
      <c r="D430" s="144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 ht="13.5" customHeight="1">
      <c r="A431" s="120"/>
      <c r="B431" s="143"/>
      <c r="C431" s="120"/>
      <c r="D431" s="144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 ht="13.5" customHeight="1">
      <c r="A432" s="120"/>
      <c r="B432" s="143"/>
      <c r="C432" s="120"/>
      <c r="D432" s="144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 ht="13.5" customHeight="1">
      <c r="A433" s="120"/>
      <c r="B433" s="143"/>
      <c r="C433" s="120"/>
      <c r="D433" s="144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 ht="13.5" customHeight="1">
      <c r="A434" s="120"/>
      <c r="B434" s="143"/>
      <c r="C434" s="120"/>
      <c r="D434" s="144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 ht="13.5" customHeight="1">
      <c r="A435" s="120"/>
      <c r="B435" s="143"/>
      <c r="C435" s="120"/>
      <c r="D435" s="144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 ht="13.5" customHeight="1">
      <c r="A436" s="120"/>
      <c r="B436" s="143"/>
      <c r="C436" s="120"/>
      <c r="D436" s="144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 ht="13.5" customHeight="1">
      <c r="A437" s="120"/>
      <c r="B437" s="143"/>
      <c r="C437" s="120"/>
      <c r="D437" s="144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 ht="13.5" customHeight="1">
      <c r="A438" s="120"/>
      <c r="B438" s="143"/>
      <c r="C438" s="120"/>
      <c r="D438" s="144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 ht="13.5" customHeight="1">
      <c r="A439" s="120"/>
      <c r="B439" s="143"/>
      <c r="C439" s="120"/>
      <c r="D439" s="144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 ht="13.5" customHeight="1">
      <c r="A440" s="120"/>
      <c r="B440" s="143"/>
      <c r="C440" s="120"/>
      <c r="D440" s="144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 ht="13.5" customHeight="1">
      <c r="A441" s="120"/>
      <c r="B441" s="143"/>
      <c r="C441" s="120"/>
      <c r="D441" s="144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 ht="13.5" customHeight="1">
      <c r="A442" s="120"/>
      <c r="B442" s="143"/>
      <c r="C442" s="120"/>
      <c r="D442" s="144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 ht="13.5" customHeight="1">
      <c r="A443" s="120"/>
      <c r="B443" s="143"/>
      <c r="C443" s="120"/>
      <c r="D443" s="144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 ht="13.5" customHeight="1">
      <c r="A444" s="120"/>
      <c r="B444" s="143"/>
      <c r="C444" s="120"/>
      <c r="D444" s="144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 ht="13.5" customHeight="1">
      <c r="A445" s="120"/>
      <c r="B445" s="143"/>
      <c r="C445" s="120"/>
      <c r="D445" s="144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 ht="13.5" customHeight="1">
      <c r="A446" s="120"/>
      <c r="B446" s="143"/>
      <c r="C446" s="120"/>
      <c r="D446" s="144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 ht="13.5" customHeight="1">
      <c r="A447" s="120"/>
      <c r="B447" s="143"/>
      <c r="C447" s="120"/>
      <c r="D447" s="144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 ht="13.5" customHeight="1">
      <c r="A448" s="120"/>
      <c r="B448" s="143"/>
      <c r="C448" s="120"/>
      <c r="D448" s="144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 ht="13.5" customHeight="1">
      <c r="A449" s="120"/>
      <c r="B449" s="143"/>
      <c r="C449" s="120"/>
      <c r="D449" s="144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 ht="13.5" customHeight="1">
      <c r="A450" s="120"/>
      <c r="B450" s="143"/>
      <c r="C450" s="120"/>
      <c r="D450" s="144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 ht="13.5" customHeight="1">
      <c r="A451" s="120"/>
      <c r="B451" s="143"/>
      <c r="C451" s="120"/>
      <c r="D451" s="144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 ht="13.5" customHeight="1">
      <c r="A452" s="120"/>
      <c r="B452" s="143"/>
      <c r="C452" s="120"/>
      <c r="D452" s="144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 ht="13.5" customHeight="1">
      <c r="A453" s="120"/>
      <c r="B453" s="143"/>
      <c r="C453" s="120"/>
      <c r="D453" s="144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 ht="13.5" customHeight="1">
      <c r="A454" s="120"/>
      <c r="B454" s="143"/>
      <c r="C454" s="120"/>
      <c r="D454" s="144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 ht="13.5" customHeight="1">
      <c r="A455" s="120"/>
      <c r="B455" s="143"/>
      <c r="C455" s="120"/>
      <c r="D455" s="144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 ht="13.5" customHeight="1">
      <c r="A456" s="120"/>
      <c r="B456" s="143"/>
      <c r="C456" s="120"/>
      <c r="D456" s="144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 ht="13.5" customHeight="1">
      <c r="A457" s="120"/>
      <c r="B457" s="143"/>
      <c r="C457" s="120"/>
      <c r="D457" s="144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 ht="13.5" customHeight="1">
      <c r="A458" s="120"/>
      <c r="B458" s="143"/>
      <c r="C458" s="120"/>
      <c r="D458" s="144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 ht="13.5" customHeight="1">
      <c r="A459" s="120"/>
      <c r="B459" s="143"/>
      <c r="C459" s="120"/>
      <c r="D459" s="144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 ht="13.5" customHeight="1">
      <c r="A460" s="120"/>
      <c r="B460" s="143"/>
      <c r="C460" s="120"/>
      <c r="D460" s="144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 ht="13.5" customHeight="1">
      <c r="A461" s="120"/>
      <c r="B461" s="143"/>
      <c r="C461" s="120"/>
      <c r="D461" s="144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 ht="13.5" customHeight="1">
      <c r="A462" s="120"/>
      <c r="B462" s="143"/>
      <c r="C462" s="120"/>
      <c r="D462" s="144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 ht="13.5" customHeight="1">
      <c r="A463" s="120"/>
      <c r="B463" s="143"/>
      <c r="C463" s="120"/>
      <c r="D463" s="144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 ht="13.5" customHeight="1">
      <c r="A464" s="120"/>
      <c r="B464" s="143"/>
      <c r="C464" s="120"/>
      <c r="D464" s="144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 ht="13.5" customHeight="1">
      <c r="A465" s="120"/>
      <c r="B465" s="143"/>
      <c r="C465" s="120"/>
      <c r="D465" s="144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 ht="13.5" customHeight="1">
      <c r="A466" s="120"/>
      <c r="B466" s="143"/>
      <c r="C466" s="120"/>
      <c r="D466" s="144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 ht="13.5" customHeight="1">
      <c r="A467" s="120"/>
      <c r="B467" s="143"/>
      <c r="C467" s="120"/>
      <c r="D467" s="144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 ht="13.5" customHeight="1">
      <c r="A468" s="120"/>
      <c r="B468" s="143"/>
      <c r="C468" s="120"/>
      <c r="D468" s="144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 ht="13.5" customHeight="1">
      <c r="A469" s="120"/>
      <c r="B469" s="143"/>
      <c r="C469" s="120"/>
      <c r="D469" s="144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 ht="13.5" customHeight="1">
      <c r="A470" s="120"/>
      <c r="B470" s="143"/>
      <c r="C470" s="120"/>
      <c r="D470" s="144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 ht="13.5" customHeight="1">
      <c r="A471" s="120"/>
      <c r="B471" s="143"/>
      <c r="C471" s="120"/>
      <c r="D471" s="144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 ht="13.5" customHeight="1">
      <c r="A472" s="120"/>
      <c r="B472" s="143"/>
      <c r="C472" s="120"/>
      <c r="D472" s="144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 ht="13.5" customHeight="1">
      <c r="A473" s="120"/>
      <c r="B473" s="143"/>
      <c r="C473" s="120"/>
      <c r="D473" s="144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 ht="13.5" customHeight="1">
      <c r="A474" s="120"/>
      <c r="B474" s="143"/>
      <c r="C474" s="120"/>
      <c r="D474" s="144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 ht="13.5" customHeight="1">
      <c r="A475" s="120"/>
      <c r="B475" s="143"/>
      <c r="C475" s="120"/>
      <c r="D475" s="144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 ht="13.5" customHeight="1">
      <c r="A476" s="120"/>
      <c r="B476" s="143"/>
      <c r="C476" s="120"/>
      <c r="D476" s="144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 ht="13.5" customHeight="1">
      <c r="A477" s="120"/>
      <c r="B477" s="143"/>
      <c r="C477" s="120"/>
      <c r="D477" s="144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 ht="13.5" customHeight="1">
      <c r="A478" s="120"/>
      <c r="B478" s="143"/>
      <c r="C478" s="120"/>
      <c r="D478" s="144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 ht="13.5" customHeight="1">
      <c r="A479" s="120"/>
      <c r="B479" s="143"/>
      <c r="C479" s="120"/>
      <c r="D479" s="144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 ht="13.5" customHeight="1">
      <c r="A480" s="120"/>
      <c r="B480" s="143"/>
      <c r="C480" s="120"/>
      <c r="D480" s="144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 ht="13.5" customHeight="1">
      <c r="A481" s="120"/>
      <c r="B481" s="143"/>
      <c r="C481" s="120"/>
      <c r="D481" s="144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 ht="13.5" customHeight="1">
      <c r="A482" s="120"/>
      <c r="B482" s="143"/>
      <c r="C482" s="120"/>
      <c r="D482" s="144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 ht="13.5" customHeight="1">
      <c r="A483" s="120"/>
      <c r="B483" s="143"/>
      <c r="C483" s="120"/>
      <c r="D483" s="144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 ht="13.5" customHeight="1">
      <c r="A484" s="120"/>
      <c r="B484" s="143"/>
      <c r="C484" s="120"/>
      <c r="D484" s="144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 ht="13.5" customHeight="1">
      <c r="A485" s="120"/>
      <c r="B485" s="143"/>
      <c r="C485" s="120"/>
      <c r="D485" s="144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 ht="13.5" customHeight="1">
      <c r="A486" s="120"/>
      <c r="B486" s="143"/>
      <c r="C486" s="120"/>
      <c r="D486" s="144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 ht="13.5" customHeight="1">
      <c r="A487" s="120"/>
      <c r="B487" s="143"/>
      <c r="C487" s="120"/>
      <c r="D487" s="144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 ht="13.5" customHeight="1">
      <c r="A488" s="120"/>
      <c r="B488" s="143"/>
      <c r="C488" s="120"/>
      <c r="D488" s="144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 ht="13.5" customHeight="1">
      <c r="A489" s="120"/>
      <c r="B489" s="143"/>
      <c r="C489" s="120"/>
      <c r="D489" s="144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 ht="13.5" customHeight="1">
      <c r="A490" s="120"/>
      <c r="B490" s="143"/>
      <c r="C490" s="120"/>
      <c r="D490" s="144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 ht="13.5" customHeight="1">
      <c r="A491" s="120"/>
      <c r="B491" s="143"/>
      <c r="C491" s="120"/>
      <c r="D491" s="144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 ht="13.5" customHeight="1">
      <c r="A492" s="120"/>
      <c r="B492" s="143"/>
      <c r="C492" s="120"/>
      <c r="D492" s="144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 ht="13.5" customHeight="1">
      <c r="A493" s="120"/>
      <c r="B493" s="143"/>
      <c r="C493" s="120"/>
      <c r="D493" s="144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 ht="13.5" customHeight="1">
      <c r="A494" s="120"/>
      <c r="B494" s="143"/>
      <c r="C494" s="120"/>
      <c r="D494" s="144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 ht="13.5" customHeight="1">
      <c r="A495" s="120"/>
      <c r="B495" s="143"/>
      <c r="C495" s="120"/>
      <c r="D495" s="144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 ht="13.5" customHeight="1">
      <c r="A496" s="120"/>
      <c r="B496" s="143"/>
      <c r="C496" s="120"/>
      <c r="D496" s="144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 ht="13.5" customHeight="1">
      <c r="A497" s="120"/>
      <c r="B497" s="143"/>
      <c r="C497" s="120"/>
      <c r="D497" s="144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 ht="13.5" customHeight="1">
      <c r="A498" s="120"/>
      <c r="B498" s="143"/>
      <c r="C498" s="120"/>
      <c r="D498" s="144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 ht="13.5" customHeight="1">
      <c r="A499" s="120"/>
      <c r="B499" s="143"/>
      <c r="C499" s="120"/>
      <c r="D499" s="144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 ht="13.5" customHeight="1">
      <c r="A500" s="120"/>
      <c r="B500" s="143"/>
      <c r="C500" s="120"/>
      <c r="D500" s="144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 ht="13.5" customHeight="1">
      <c r="A501" s="120"/>
      <c r="B501" s="143"/>
      <c r="C501" s="120"/>
      <c r="D501" s="144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 ht="13.5" customHeight="1">
      <c r="A502" s="120"/>
      <c r="B502" s="143"/>
      <c r="C502" s="120"/>
      <c r="D502" s="144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 ht="13.5" customHeight="1">
      <c r="A503" s="120"/>
      <c r="B503" s="143"/>
      <c r="C503" s="120"/>
      <c r="D503" s="144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 ht="13.5" customHeight="1">
      <c r="A504" s="120"/>
      <c r="B504" s="143"/>
      <c r="C504" s="120"/>
      <c r="D504" s="144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 ht="13.5" customHeight="1">
      <c r="A505" s="120"/>
      <c r="B505" s="143"/>
      <c r="C505" s="120"/>
      <c r="D505" s="144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 ht="13.5" customHeight="1">
      <c r="A506" s="120"/>
      <c r="B506" s="143"/>
      <c r="C506" s="120"/>
      <c r="D506" s="144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 ht="13.5" customHeight="1">
      <c r="A507" s="120"/>
      <c r="B507" s="143"/>
      <c r="C507" s="120"/>
      <c r="D507" s="144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 ht="13.5" customHeight="1">
      <c r="A508" s="120"/>
      <c r="B508" s="143"/>
      <c r="C508" s="120"/>
      <c r="D508" s="144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 ht="13.5" customHeight="1">
      <c r="A509" s="120"/>
      <c r="B509" s="143"/>
      <c r="C509" s="120"/>
      <c r="D509" s="144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 ht="13.5" customHeight="1">
      <c r="A510" s="120"/>
      <c r="B510" s="143"/>
      <c r="C510" s="120"/>
      <c r="D510" s="144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 ht="13.5" customHeight="1">
      <c r="A511" s="120"/>
      <c r="B511" s="143"/>
      <c r="C511" s="120"/>
      <c r="D511" s="144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 ht="13.5" customHeight="1">
      <c r="A512" s="120"/>
      <c r="B512" s="143"/>
      <c r="C512" s="120"/>
      <c r="D512" s="144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 ht="13.5" customHeight="1">
      <c r="A513" s="120"/>
      <c r="B513" s="143"/>
      <c r="C513" s="120"/>
      <c r="D513" s="144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 ht="13.5" customHeight="1">
      <c r="A514" s="120"/>
      <c r="B514" s="143"/>
      <c r="C514" s="120"/>
      <c r="D514" s="144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 ht="13.5" customHeight="1">
      <c r="A515" s="120"/>
      <c r="B515" s="143"/>
      <c r="C515" s="120"/>
      <c r="D515" s="144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 ht="13.5" customHeight="1">
      <c r="A516" s="120"/>
      <c r="B516" s="143"/>
      <c r="C516" s="120"/>
      <c r="D516" s="144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 ht="13.5" customHeight="1">
      <c r="A517" s="120"/>
      <c r="B517" s="143"/>
      <c r="C517" s="120"/>
      <c r="D517" s="144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 ht="13.5" customHeight="1">
      <c r="A518" s="120"/>
      <c r="B518" s="143"/>
      <c r="C518" s="120"/>
      <c r="D518" s="144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 ht="13.5" customHeight="1">
      <c r="A519" s="120"/>
      <c r="B519" s="143"/>
      <c r="C519" s="120"/>
      <c r="D519" s="144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 ht="13.5" customHeight="1">
      <c r="A520" s="120"/>
      <c r="B520" s="143"/>
      <c r="C520" s="120"/>
      <c r="D520" s="144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 ht="13.5" customHeight="1">
      <c r="A521" s="120"/>
      <c r="B521" s="143"/>
      <c r="C521" s="120"/>
      <c r="D521" s="144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 ht="13.5" customHeight="1">
      <c r="A522" s="120"/>
      <c r="B522" s="143"/>
      <c r="C522" s="120"/>
      <c r="D522" s="144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 ht="13.5" customHeight="1">
      <c r="A523" s="120"/>
      <c r="B523" s="143"/>
      <c r="C523" s="120"/>
      <c r="D523" s="144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 ht="13.5" customHeight="1">
      <c r="A524" s="120"/>
      <c r="B524" s="143"/>
      <c r="C524" s="120"/>
      <c r="D524" s="144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 ht="13.5" customHeight="1">
      <c r="A525" s="120"/>
      <c r="B525" s="143"/>
      <c r="C525" s="120"/>
      <c r="D525" s="144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 ht="13.5" customHeight="1">
      <c r="A526" s="120"/>
      <c r="B526" s="143"/>
      <c r="C526" s="120"/>
      <c r="D526" s="144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 ht="13.5" customHeight="1">
      <c r="A527" s="120"/>
      <c r="B527" s="143"/>
      <c r="C527" s="120"/>
      <c r="D527" s="144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 ht="13.5" customHeight="1">
      <c r="A528" s="120"/>
      <c r="B528" s="143"/>
      <c r="C528" s="120"/>
      <c r="D528" s="144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 ht="13.5" customHeight="1">
      <c r="A529" s="120"/>
      <c r="B529" s="143"/>
      <c r="C529" s="120"/>
      <c r="D529" s="144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 ht="13.5" customHeight="1">
      <c r="A530" s="120"/>
      <c r="B530" s="143"/>
      <c r="C530" s="120"/>
      <c r="D530" s="144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 ht="13.5" customHeight="1">
      <c r="A531" s="120"/>
      <c r="B531" s="143"/>
      <c r="C531" s="120"/>
      <c r="D531" s="144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 ht="13.5" customHeight="1">
      <c r="A532" s="120"/>
      <c r="B532" s="143"/>
      <c r="C532" s="120"/>
      <c r="D532" s="144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 ht="13.5" customHeight="1">
      <c r="A533" s="120"/>
      <c r="B533" s="143"/>
      <c r="C533" s="120"/>
      <c r="D533" s="144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 ht="13.5" customHeight="1">
      <c r="A534" s="120"/>
      <c r="B534" s="143"/>
      <c r="C534" s="120"/>
      <c r="D534" s="144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 ht="13.5" customHeight="1">
      <c r="A535" s="120"/>
      <c r="B535" s="143"/>
      <c r="C535" s="120"/>
      <c r="D535" s="144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 ht="13.5" customHeight="1">
      <c r="A536" s="120"/>
      <c r="B536" s="143"/>
      <c r="C536" s="120"/>
      <c r="D536" s="144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 ht="13.5" customHeight="1">
      <c r="A537" s="120"/>
      <c r="B537" s="143"/>
      <c r="C537" s="120"/>
      <c r="D537" s="144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 ht="13.5" customHeight="1">
      <c r="A538" s="120"/>
      <c r="B538" s="143"/>
      <c r="C538" s="120"/>
      <c r="D538" s="144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 ht="13.5" customHeight="1">
      <c r="A539" s="120"/>
      <c r="B539" s="143"/>
      <c r="C539" s="120"/>
      <c r="D539" s="144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 ht="13.5" customHeight="1">
      <c r="A540" s="120"/>
      <c r="B540" s="143"/>
      <c r="C540" s="120"/>
      <c r="D540" s="144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 ht="13.5" customHeight="1">
      <c r="A541" s="120"/>
      <c r="B541" s="143"/>
      <c r="C541" s="120"/>
      <c r="D541" s="144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 ht="13.5" customHeight="1">
      <c r="A542" s="120"/>
      <c r="B542" s="143"/>
      <c r="C542" s="120"/>
      <c r="D542" s="144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 ht="13.5" customHeight="1">
      <c r="A543" s="120"/>
      <c r="B543" s="143"/>
      <c r="C543" s="120"/>
      <c r="D543" s="144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 ht="13.5" customHeight="1">
      <c r="A544" s="120"/>
      <c r="B544" s="143"/>
      <c r="C544" s="120"/>
      <c r="D544" s="144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 ht="13.5" customHeight="1">
      <c r="A545" s="120"/>
      <c r="B545" s="143"/>
      <c r="C545" s="120"/>
      <c r="D545" s="144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 ht="13.5" customHeight="1">
      <c r="A546" s="120"/>
      <c r="B546" s="143"/>
      <c r="C546" s="120"/>
      <c r="D546" s="144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 ht="13.5" customHeight="1">
      <c r="A547" s="120"/>
      <c r="B547" s="143"/>
      <c r="C547" s="120"/>
      <c r="D547" s="144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 ht="13.5" customHeight="1">
      <c r="A548" s="120"/>
      <c r="B548" s="143"/>
      <c r="C548" s="120"/>
      <c r="D548" s="144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 ht="13.5" customHeight="1">
      <c r="A549" s="120"/>
      <c r="B549" s="143"/>
      <c r="C549" s="120"/>
      <c r="D549" s="144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 ht="13.5" customHeight="1">
      <c r="A550" s="120"/>
      <c r="B550" s="143"/>
      <c r="C550" s="120"/>
      <c r="D550" s="144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 ht="13.5" customHeight="1">
      <c r="A551" s="120"/>
      <c r="B551" s="143"/>
      <c r="C551" s="120"/>
      <c r="D551" s="144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 ht="13.5" customHeight="1">
      <c r="A552" s="120"/>
      <c r="B552" s="143"/>
      <c r="C552" s="120"/>
      <c r="D552" s="144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 ht="13.5" customHeight="1">
      <c r="A553" s="120"/>
      <c r="B553" s="143"/>
      <c r="C553" s="120"/>
      <c r="D553" s="144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 ht="13.5" customHeight="1">
      <c r="A554" s="120"/>
      <c r="B554" s="143"/>
      <c r="C554" s="120"/>
      <c r="D554" s="144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 ht="13.5" customHeight="1">
      <c r="A555" s="120"/>
      <c r="B555" s="143"/>
      <c r="C555" s="120"/>
      <c r="D555" s="144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 ht="13.5" customHeight="1">
      <c r="A556" s="120"/>
      <c r="B556" s="143"/>
      <c r="C556" s="120"/>
      <c r="D556" s="144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 ht="13.5" customHeight="1">
      <c r="A557" s="120"/>
      <c r="B557" s="143"/>
      <c r="C557" s="120"/>
      <c r="D557" s="144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 ht="13.5" customHeight="1">
      <c r="A558" s="120"/>
      <c r="B558" s="143"/>
      <c r="C558" s="120"/>
      <c r="D558" s="144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 ht="13.5" customHeight="1">
      <c r="A559" s="120"/>
      <c r="B559" s="143"/>
      <c r="C559" s="120"/>
      <c r="D559" s="144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 ht="13.5" customHeight="1">
      <c r="A560" s="120"/>
      <c r="B560" s="143"/>
      <c r="C560" s="120"/>
      <c r="D560" s="144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 ht="13.5" customHeight="1">
      <c r="A561" s="120"/>
      <c r="B561" s="143"/>
      <c r="C561" s="120"/>
      <c r="D561" s="144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 ht="13.5" customHeight="1">
      <c r="A562" s="120"/>
      <c r="B562" s="143"/>
      <c r="C562" s="120"/>
      <c r="D562" s="144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 ht="13.5" customHeight="1">
      <c r="A563" s="120"/>
      <c r="B563" s="143"/>
      <c r="C563" s="120"/>
      <c r="D563" s="144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 ht="13.5" customHeight="1">
      <c r="A564" s="120"/>
      <c r="B564" s="143"/>
      <c r="C564" s="120"/>
      <c r="D564" s="144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 ht="13.5" customHeight="1">
      <c r="A565" s="120"/>
      <c r="B565" s="143"/>
      <c r="C565" s="120"/>
      <c r="D565" s="144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 ht="13.5" customHeight="1">
      <c r="A566" s="120"/>
      <c r="B566" s="143"/>
      <c r="C566" s="120"/>
      <c r="D566" s="144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 ht="13.5" customHeight="1">
      <c r="A567" s="120"/>
      <c r="B567" s="143"/>
      <c r="C567" s="120"/>
      <c r="D567" s="144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 ht="13.5" customHeight="1">
      <c r="A568" s="120"/>
      <c r="B568" s="143"/>
      <c r="C568" s="120"/>
      <c r="D568" s="144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 ht="13.5" customHeight="1">
      <c r="A569" s="120"/>
      <c r="B569" s="143"/>
      <c r="C569" s="120"/>
      <c r="D569" s="144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 ht="13.5" customHeight="1">
      <c r="A570" s="120"/>
      <c r="B570" s="143"/>
      <c r="C570" s="120"/>
      <c r="D570" s="144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 ht="13.5" customHeight="1">
      <c r="A571" s="120"/>
      <c r="B571" s="143"/>
      <c r="C571" s="120"/>
      <c r="D571" s="144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 ht="13.5" customHeight="1">
      <c r="A572" s="120"/>
      <c r="B572" s="143"/>
      <c r="C572" s="120"/>
      <c r="D572" s="144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 ht="13.5" customHeight="1">
      <c r="A573" s="120"/>
      <c r="B573" s="143"/>
      <c r="C573" s="120"/>
      <c r="D573" s="144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 ht="13.5" customHeight="1">
      <c r="A574" s="120"/>
      <c r="B574" s="143"/>
      <c r="C574" s="120"/>
      <c r="D574" s="144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 ht="13.5" customHeight="1">
      <c r="A575" s="120"/>
      <c r="B575" s="143"/>
      <c r="C575" s="120"/>
      <c r="D575" s="144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 ht="13.5" customHeight="1">
      <c r="A576" s="120"/>
      <c r="B576" s="143"/>
      <c r="C576" s="120"/>
      <c r="D576" s="144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 ht="13.5" customHeight="1">
      <c r="A577" s="120"/>
      <c r="B577" s="143"/>
      <c r="C577" s="120"/>
      <c r="D577" s="144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 ht="13.5" customHeight="1">
      <c r="A578" s="120"/>
      <c r="B578" s="143"/>
      <c r="C578" s="120"/>
      <c r="D578" s="144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 ht="13.5" customHeight="1">
      <c r="A579" s="120"/>
      <c r="B579" s="143"/>
      <c r="C579" s="120"/>
      <c r="D579" s="144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 ht="13.5" customHeight="1">
      <c r="A580" s="120"/>
      <c r="B580" s="143"/>
      <c r="C580" s="120"/>
      <c r="D580" s="144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 ht="13.5" customHeight="1">
      <c r="A581" s="120"/>
      <c r="B581" s="143"/>
      <c r="C581" s="120"/>
      <c r="D581" s="144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 ht="13.5" customHeight="1">
      <c r="A582" s="120"/>
      <c r="B582" s="143"/>
      <c r="C582" s="120"/>
      <c r="D582" s="144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 ht="13.5" customHeight="1">
      <c r="A583" s="120"/>
      <c r="B583" s="143"/>
      <c r="C583" s="120"/>
      <c r="D583" s="144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 ht="13.5" customHeight="1">
      <c r="A584" s="120"/>
      <c r="B584" s="143"/>
      <c r="C584" s="120"/>
      <c r="D584" s="144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 ht="13.5" customHeight="1">
      <c r="A585" s="120"/>
      <c r="B585" s="143"/>
      <c r="C585" s="120"/>
      <c r="D585" s="144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 ht="13.5" customHeight="1">
      <c r="A586" s="120"/>
      <c r="B586" s="143"/>
      <c r="C586" s="120"/>
      <c r="D586" s="144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 ht="13.5" customHeight="1">
      <c r="A587" s="120"/>
      <c r="B587" s="143"/>
      <c r="C587" s="120"/>
      <c r="D587" s="144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 ht="13.5" customHeight="1">
      <c r="A588" s="120"/>
      <c r="B588" s="143"/>
      <c r="C588" s="120"/>
      <c r="D588" s="144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 ht="13.5" customHeight="1">
      <c r="A589" s="120"/>
      <c r="B589" s="143"/>
      <c r="C589" s="120"/>
      <c r="D589" s="144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 ht="13.5" customHeight="1">
      <c r="A590" s="120"/>
      <c r="B590" s="143"/>
      <c r="C590" s="120"/>
      <c r="D590" s="144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 ht="13.5" customHeight="1">
      <c r="A591" s="120"/>
      <c r="B591" s="143"/>
      <c r="C591" s="120"/>
      <c r="D591" s="144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 ht="13.5" customHeight="1">
      <c r="A592" s="120"/>
      <c r="B592" s="143"/>
      <c r="C592" s="120"/>
      <c r="D592" s="144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 ht="13.5" customHeight="1">
      <c r="A593" s="120"/>
      <c r="B593" s="143"/>
      <c r="C593" s="120"/>
      <c r="D593" s="144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 ht="13.5" customHeight="1">
      <c r="A594" s="120"/>
      <c r="B594" s="143"/>
      <c r="C594" s="120"/>
      <c r="D594" s="144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 ht="13.5" customHeight="1">
      <c r="A595" s="120"/>
      <c r="B595" s="143"/>
      <c r="C595" s="120"/>
      <c r="D595" s="144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 ht="13.5" customHeight="1">
      <c r="A596" s="120"/>
      <c r="B596" s="143"/>
      <c r="C596" s="120"/>
      <c r="D596" s="144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 ht="13.5" customHeight="1">
      <c r="A597" s="120"/>
      <c r="B597" s="143"/>
      <c r="C597" s="120"/>
      <c r="D597" s="144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 ht="13.5" customHeight="1">
      <c r="A598" s="120"/>
      <c r="B598" s="143"/>
      <c r="C598" s="120"/>
      <c r="D598" s="144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 ht="13.5" customHeight="1">
      <c r="A599" s="120"/>
      <c r="B599" s="143"/>
      <c r="C599" s="120"/>
      <c r="D599" s="144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 ht="13.5" customHeight="1">
      <c r="A600" s="120"/>
      <c r="B600" s="143"/>
      <c r="C600" s="120"/>
      <c r="D600" s="144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 ht="13.5" customHeight="1">
      <c r="A601" s="120"/>
      <c r="B601" s="143"/>
      <c r="C601" s="120"/>
      <c r="D601" s="144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 ht="13.5" customHeight="1">
      <c r="A602" s="120"/>
      <c r="B602" s="143"/>
      <c r="C602" s="120"/>
      <c r="D602" s="144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 ht="13.5" customHeight="1">
      <c r="A603" s="120"/>
      <c r="B603" s="143"/>
      <c r="C603" s="120"/>
      <c r="D603" s="144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 ht="13.5" customHeight="1">
      <c r="A604" s="120"/>
      <c r="B604" s="143"/>
      <c r="C604" s="120"/>
      <c r="D604" s="144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 ht="13.5" customHeight="1">
      <c r="A605" s="120"/>
      <c r="B605" s="143"/>
      <c r="C605" s="120"/>
      <c r="D605" s="144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 ht="13.5" customHeight="1">
      <c r="A606" s="120"/>
      <c r="B606" s="143"/>
      <c r="C606" s="120"/>
      <c r="D606" s="144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 ht="13.5" customHeight="1">
      <c r="A607" s="120"/>
      <c r="B607" s="143"/>
      <c r="C607" s="120"/>
      <c r="D607" s="144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 ht="13.5" customHeight="1">
      <c r="A608" s="120"/>
      <c r="B608" s="143"/>
      <c r="C608" s="120"/>
      <c r="D608" s="144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 ht="13.5" customHeight="1">
      <c r="A609" s="120"/>
      <c r="B609" s="143"/>
      <c r="C609" s="120"/>
      <c r="D609" s="144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 ht="13.5" customHeight="1">
      <c r="A610" s="120"/>
      <c r="B610" s="143"/>
      <c r="C610" s="120"/>
      <c r="D610" s="144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 ht="13.5" customHeight="1">
      <c r="A611" s="120"/>
      <c r="B611" s="143"/>
      <c r="C611" s="120"/>
      <c r="D611" s="144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 ht="13.5" customHeight="1">
      <c r="A612" s="120"/>
      <c r="B612" s="143"/>
      <c r="C612" s="120"/>
      <c r="D612" s="144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 ht="13.5" customHeight="1">
      <c r="A613" s="120"/>
      <c r="B613" s="143"/>
      <c r="C613" s="120"/>
      <c r="D613" s="144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 ht="13.5" customHeight="1">
      <c r="A614" s="120"/>
      <c r="B614" s="143"/>
      <c r="C614" s="120"/>
      <c r="D614" s="144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 ht="13.5" customHeight="1">
      <c r="A615" s="120"/>
      <c r="B615" s="143"/>
      <c r="C615" s="120"/>
      <c r="D615" s="144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 ht="13.5" customHeight="1">
      <c r="A616" s="120"/>
      <c r="B616" s="143"/>
      <c r="C616" s="120"/>
      <c r="D616" s="144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 ht="13.5" customHeight="1">
      <c r="A617" s="120"/>
      <c r="B617" s="143"/>
      <c r="C617" s="120"/>
      <c r="D617" s="144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 ht="13.5" customHeight="1">
      <c r="A618" s="120"/>
      <c r="B618" s="143"/>
      <c r="C618" s="120"/>
      <c r="D618" s="144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 ht="13.5" customHeight="1">
      <c r="A619" s="120"/>
      <c r="B619" s="143"/>
      <c r="C619" s="120"/>
      <c r="D619" s="144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 ht="13.5" customHeight="1">
      <c r="A620" s="120"/>
      <c r="B620" s="143"/>
      <c r="C620" s="120"/>
      <c r="D620" s="144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 ht="13.5" customHeight="1">
      <c r="A621" s="120"/>
      <c r="B621" s="143"/>
      <c r="C621" s="120"/>
      <c r="D621" s="144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 ht="13.5" customHeight="1">
      <c r="A622" s="120"/>
      <c r="B622" s="143"/>
      <c r="C622" s="120"/>
      <c r="D622" s="144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 ht="13.5" customHeight="1">
      <c r="A623" s="120"/>
      <c r="B623" s="143"/>
      <c r="C623" s="120"/>
      <c r="D623" s="144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 ht="13.5" customHeight="1">
      <c r="A624" s="120"/>
      <c r="B624" s="143"/>
      <c r="C624" s="120"/>
      <c r="D624" s="144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 ht="13.5" customHeight="1">
      <c r="A625" s="120"/>
      <c r="B625" s="143"/>
      <c r="C625" s="120"/>
      <c r="D625" s="144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 ht="13.5" customHeight="1">
      <c r="A626" s="120"/>
      <c r="B626" s="143"/>
      <c r="C626" s="120"/>
      <c r="D626" s="144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 ht="13.5" customHeight="1">
      <c r="A627" s="120"/>
      <c r="B627" s="143"/>
      <c r="C627" s="120"/>
      <c r="D627" s="144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 ht="13.5" customHeight="1">
      <c r="A628" s="120"/>
      <c r="B628" s="143"/>
      <c r="C628" s="120"/>
      <c r="D628" s="144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 ht="13.5" customHeight="1">
      <c r="A629" s="120"/>
      <c r="B629" s="143"/>
      <c r="C629" s="120"/>
      <c r="D629" s="144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 ht="13.5" customHeight="1">
      <c r="A630" s="120"/>
      <c r="B630" s="143"/>
      <c r="C630" s="120"/>
      <c r="D630" s="144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 ht="13.5" customHeight="1">
      <c r="A631" s="120"/>
      <c r="B631" s="143"/>
      <c r="C631" s="120"/>
      <c r="D631" s="144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 ht="13.5" customHeight="1">
      <c r="A632" s="120"/>
      <c r="B632" s="143"/>
      <c r="C632" s="120"/>
      <c r="D632" s="144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 ht="13.5" customHeight="1">
      <c r="A633" s="120"/>
      <c r="B633" s="143"/>
      <c r="C633" s="120"/>
      <c r="D633" s="144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 ht="13.5" customHeight="1">
      <c r="A634" s="120"/>
      <c r="B634" s="143"/>
      <c r="C634" s="120"/>
      <c r="D634" s="144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 ht="13.5" customHeight="1">
      <c r="A635" s="120"/>
      <c r="B635" s="143"/>
      <c r="C635" s="120"/>
      <c r="D635" s="144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 ht="13.5" customHeight="1">
      <c r="A636" s="120"/>
      <c r="B636" s="143"/>
      <c r="C636" s="120"/>
      <c r="D636" s="144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 ht="13.5" customHeight="1">
      <c r="A637" s="120"/>
      <c r="B637" s="143"/>
      <c r="C637" s="120"/>
      <c r="D637" s="144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 ht="13.5" customHeight="1">
      <c r="A638" s="120"/>
      <c r="B638" s="143"/>
      <c r="C638" s="120"/>
      <c r="D638" s="144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 ht="13.5" customHeight="1">
      <c r="A639" s="120"/>
      <c r="B639" s="143"/>
      <c r="C639" s="120"/>
      <c r="D639" s="144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 ht="13.5" customHeight="1">
      <c r="A640" s="120"/>
      <c r="B640" s="143"/>
      <c r="C640" s="120"/>
      <c r="D640" s="144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 ht="13.5" customHeight="1">
      <c r="A641" s="120"/>
      <c r="B641" s="143"/>
      <c r="C641" s="120"/>
      <c r="D641" s="144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 ht="13.5" customHeight="1">
      <c r="A642" s="120"/>
      <c r="B642" s="143"/>
      <c r="C642" s="120"/>
      <c r="D642" s="144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 ht="13.5" customHeight="1">
      <c r="A643" s="120"/>
      <c r="B643" s="143"/>
      <c r="C643" s="120"/>
      <c r="D643" s="144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 ht="13.5" customHeight="1">
      <c r="A644" s="120"/>
      <c r="B644" s="143"/>
      <c r="C644" s="120"/>
      <c r="D644" s="144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 ht="13.5" customHeight="1">
      <c r="A645" s="120"/>
      <c r="B645" s="143"/>
      <c r="C645" s="120"/>
      <c r="D645" s="144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 ht="13.5" customHeight="1">
      <c r="A646" s="120"/>
      <c r="B646" s="143"/>
      <c r="C646" s="120"/>
      <c r="D646" s="144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 ht="13.5" customHeight="1">
      <c r="A647" s="120"/>
      <c r="B647" s="143"/>
      <c r="C647" s="120"/>
      <c r="D647" s="144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 ht="13.5" customHeight="1">
      <c r="A648" s="120"/>
      <c r="B648" s="143"/>
      <c r="C648" s="120"/>
      <c r="D648" s="144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 ht="13.5" customHeight="1">
      <c r="A649" s="120"/>
      <c r="B649" s="143"/>
      <c r="C649" s="120"/>
      <c r="D649" s="144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 ht="13.5" customHeight="1">
      <c r="A650" s="120"/>
      <c r="B650" s="143"/>
      <c r="C650" s="120"/>
      <c r="D650" s="144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 ht="13.5" customHeight="1">
      <c r="A651" s="120"/>
      <c r="B651" s="143"/>
      <c r="C651" s="120"/>
      <c r="D651" s="144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 ht="13.5" customHeight="1">
      <c r="A652" s="120"/>
      <c r="B652" s="143"/>
      <c r="C652" s="120"/>
      <c r="D652" s="144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 ht="13.5" customHeight="1">
      <c r="A653" s="120"/>
      <c r="B653" s="143"/>
      <c r="C653" s="120"/>
      <c r="D653" s="144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 ht="13.5" customHeight="1">
      <c r="A654" s="120"/>
      <c r="B654" s="143"/>
      <c r="C654" s="120"/>
      <c r="D654" s="144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 ht="13.5" customHeight="1">
      <c r="A655" s="120"/>
      <c r="B655" s="143"/>
      <c r="C655" s="120"/>
      <c r="D655" s="144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 ht="13.5" customHeight="1">
      <c r="A656" s="120"/>
      <c r="B656" s="143"/>
      <c r="C656" s="120"/>
      <c r="D656" s="144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 ht="13.5" customHeight="1">
      <c r="A657" s="120"/>
      <c r="B657" s="143"/>
      <c r="C657" s="120"/>
      <c r="D657" s="144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 ht="13.5" customHeight="1">
      <c r="A658" s="120"/>
      <c r="B658" s="143"/>
      <c r="C658" s="120"/>
      <c r="D658" s="144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 ht="13.5" customHeight="1">
      <c r="A659" s="120"/>
      <c r="B659" s="143"/>
      <c r="C659" s="120"/>
      <c r="D659" s="144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 ht="13.5" customHeight="1">
      <c r="A660" s="120"/>
      <c r="B660" s="143"/>
      <c r="C660" s="120"/>
      <c r="D660" s="144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 ht="13.5" customHeight="1">
      <c r="A661" s="120"/>
      <c r="B661" s="143"/>
      <c r="C661" s="120"/>
      <c r="D661" s="144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 ht="13.5" customHeight="1">
      <c r="A662" s="120"/>
      <c r="B662" s="143"/>
      <c r="C662" s="120"/>
      <c r="D662" s="144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 ht="13.5" customHeight="1">
      <c r="A663" s="120"/>
      <c r="B663" s="143"/>
      <c r="C663" s="120"/>
      <c r="D663" s="144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 ht="13.5" customHeight="1">
      <c r="A664" s="120"/>
      <c r="B664" s="143"/>
      <c r="C664" s="120"/>
      <c r="D664" s="144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 ht="13.5" customHeight="1">
      <c r="A665" s="120"/>
      <c r="B665" s="143"/>
      <c r="C665" s="120"/>
      <c r="D665" s="144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 ht="13.5" customHeight="1">
      <c r="A666" s="120"/>
      <c r="B666" s="143"/>
      <c r="C666" s="120"/>
      <c r="D666" s="144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 ht="13.5" customHeight="1">
      <c r="A667" s="120"/>
      <c r="B667" s="143"/>
      <c r="C667" s="120"/>
      <c r="D667" s="144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 ht="13.5" customHeight="1">
      <c r="A668" s="120"/>
      <c r="B668" s="143"/>
      <c r="C668" s="120"/>
      <c r="D668" s="144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 ht="13.5" customHeight="1">
      <c r="A669" s="120"/>
      <c r="B669" s="143"/>
      <c r="C669" s="120"/>
      <c r="D669" s="144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 ht="13.5" customHeight="1">
      <c r="A670" s="120"/>
      <c r="B670" s="143"/>
      <c r="C670" s="120"/>
      <c r="D670" s="144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 ht="13.5" customHeight="1">
      <c r="A671" s="120"/>
      <c r="B671" s="143"/>
      <c r="C671" s="120"/>
      <c r="D671" s="144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 ht="13.5" customHeight="1">
      <c r="A672" s="120"/>
      <c r="B672" s="143"/>
      <c r="C672" s="120"/>
      <c r="D672" s="144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 ht="13.5" customHeight="1">
      <c r="A673" s="120"/>
      <c r="B673" s="143"/>
      <c r="C673" s="120"/>
      <c r="D673" s="144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 ht="13.5" customHeight="1">
      <c r="A674" s="120"/>
      <c r="B674" s="143"/>
      <c r="C674" s="120"/>
      <c r="D674" s="144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 ht="13.5" customHeight="1">
      <c r="A675" s="120"/>
      <c r="B675" s="143"/>
      <c r="C675" s="120"/>
      <c r="D675" s="144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 ht="13.5" customHeight="1">
      <c r="A676" s="120"/>
      <c r="B676" s="143"/>
      <c r="C676" s="120"/>
      <c r="D676" s="144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 ht="13.5" customHeight="1">
      <c r="A677" s="120"/>
      <c r="B677" s="143"/>
      <c r="C677" s="120"/>
      <c r="D677" s="144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 ht="13.5" customHeight="1">
      <c r="A678" s="120"/>
      <c r="B678" s="143"/>
      <c r="C678" s="120"/>
      <c r="D678" s="144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 ht="13.5" customHeight="1">
      <c r="A679" s="120"/>
      <c r="B679" s="143"/>
      <c r="C679" s="120"/>
      <c r="D679" s="144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 ht="13.5" customHeight="1">
      <c r="A680" s="120"/>
      <c r="B680" s="143"/>
      <c r="C680" s="120"/>
      <c r="D680" s="144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 ht="13.5" customHeight="1">
      <c r="A681" s="120"/>
      <c r="B681" s="143"/>
      <c r="C681" s="120"/>
      <c r="D681" s="144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 ht="13.5" customHeight="1">
      <c r="A682" s="120"/>
      <c r="B682" s="143"/>
      <c r="C682" s="120"/>
      <c r="D682" s="144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 ht="13.5" customHeight="1">
      <c r="A683" s="120"/>
      <c r="B683" s="143"/>
      <c r="C683" s="120"/>
      <c r="D683" s="144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 ht="13.5" customHeight="1">
      <c r="A684" s="120"/>
      <c r="B684" s="143"/>
      <c r="C684" s="120"/>
      <c r="D684" s="144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 ht="13.5" customHeight="1">
      <c r="A685" s="120"/>
      <c r="B685" s="143"/>
      <c r="C685" s="120"/>
      <c r="D685" s="144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 ht="13.5" customHeight="1">
      <c r="A686" s="120"/>
      <c r="B686" s="143"/>
      <c r="C686" s="120"/>
      <c r="D686" s="144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 ht="13.5" customHeight="1">
      <c r="A687" s="120"/>
      <c r="B687" s="143"/>
      <c r="C687" s="120"/>
      <c r="D687" s="144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 ht="13.5" customHeight="1">
      <c r="A688" s="120"/>
      <c r="B688" s="143"/>
      <c r="C688" s="120"/>
      <c r="D688" s="144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 ht="13.5" customHeight="1">
      <c r="A689" s="120"/>
      <c r="B689" s="143"/>
      <c r="C689" s="120"/>
      <c r="D689" s="144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 ht="13.5" customHeight="1">
      <c r="A690" s="120"/>
      <c r="B690" s="143"/>
      <c r="C690" s="120"/>
      <c r="D690" s="144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 ht="13.5" customHeight="1">
      <c r="A691" s="120"/>
      <c r="B691" s="143"/>
      <c r="C691" s="120"/>
      <c r="D691" s="144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 ht="13.5" customHeight="1">
      <c r="A692" s="120"/>
      <c r="B692" s="143"/>
      <c r="C692" s="120"/>
      <c r="D692" s="144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 ht="13.5" customHeight="1">
      <c r="A693" s="120"/>
      <c r="B693" s="143"/>
      <c r="C693" s="120"/>
      <c r="D693" s="144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 ht="13.5" customHeight="1">
      <c r="A694" s="120"/>
      <c r="B694" s="143"/>
      <c r="C694" s="120"/>
      <c r="D694" s="144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 ht="13.5" customHeight="1">
      <c r="A695" s="120"/>
      <c r="B695" s="143"/>
      <c r="C695" s="120"/>
      <c r="D695" s="144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 ht="13.5" customHeight="1">
      <c r="A696" s="120"/>
      <c r="B696" s="143"/>
      <c r="C696" s="120"/>
      <c r="D696" s="144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 ht="13.5" customHeight="1">
      <c r="A697" s="120"/>
      <c r="B697" s="143"/>
      <c r="C697" s="120"/>
      <c r="D697" s="144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 ht="13.5" customHeight="1">
      <c r="A698" s="120"/>
      <c r="B698" s="143"/>
      <c r="C698" s="120"/>
      <c r="D698" s="144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 ht="13.5" customHeight="1">
      <c r="A699" s="120"/>
      <c r="B699" s="143"/>
      <c r="C699" s="120"/>
      <c r="D699" s="144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 ht="13.5" customHeight="1">
      <c r="A700" s="120"/>
      <c r="B700" s="143"/>
      <c r="C700" s="120"/>
      <c r="D700" s="144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 ht="13.5" customHeight="1">
      <c r="A701" s="120"/>
      <c r="B701" s="143"/>
      <c r="C701" s="120"/>
      <c r="D701" s="144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 ht="13.5" customHeight="1">
      <c r="A702" s="120"/>
      <c r="B702" s="143"/>
      <c r="C702" s="120"/>
      <c r="D702" s="144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 ht="13.5" customHeight="1">
      <c r="A703" s="120"/>
      <c r="B703" s="143"/>
      <c r="C703" s="120"/>
      <c r="D703" s="144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</row>
    <row r="704" ht="13.5" customHeight="1">
      <c r="A704" s="120"/>
      <c r="B704" s="143"/>
      <c r="C704" s="120"/>
      <c r="D704" s="144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</row>
    <row r="705" ht="13.5" customHeight="1">
      <c r="A705" s="120"/>
      <c r="B705" s="143"/>
      <c r="C705" s="120"/>
      <c r="D705" s="144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</row>
    <row r="706" ht="13.5" customHeight="1">
      <c r="A706" s="120"/>
      <c r="B706" s="143"/>
      <c r="C706" s="120"/>
      <c r="D706" s="144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</row>
    <row r="707" ht="13.5" customHeight="1">
      <c r="A707" s="120"/>
      <c r="B707" s="143"/>
      <c r="C707" s="120"/>
      <c r="D707" s="144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</row>
    <row r="708" ht="13.5" customHeight="1">
      <c r="A708" s="120"/>
      <c r="B708" s="143"/>
      <c r="C708" s="120"/>
      <c r="D708" s="144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</row>
    <row r="709" ht="13.5" customHeight="1">
      <c r="A709" s="120"/>
      <c r="B709" s="143"/>
      <c r="C709" s="120"/>
      <c r="D709" s="144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</row>
    <row r="710" ht="13.5" customHeight="1">
      <c r="A710" s="120"/>
      <c r="B710" s="143"/>
      <c r="C710" s="120"/>
      <c r="D710" s="144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</row>
    <row r="711" ht="13.5" customHeight="1">
      <c r="A711" s="120"/>
      <c r="B711" s="143"/>
      <c r="C711" s="120"/>
      <c r="D711" s="144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</row>
    <row r="712" ht="13.5" customHeight="1">
      <c r="A712" s="120"/>
      <c r="B712" s="143"/>
      <c r="C712" s="120"/>
      <c r="D712" s="144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</row>
    <row r="713" ht="13.5" customHeight="1">
      <c r="A713" s="120"/>
      <c r="B713" s="143"/>
      <c r="C713" s="120"/>
      <c r="D713" s="144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</row>
    <row r="714" ht="13.5" customHeight="1">
      <c r="A714" s="120"/>
      <c r="B714" s="143"/>
      <c r="C714" s="120"/>
      <c r="D714" s="144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</row>
    <row r="715" ht="13.5" customHeight="1">
      <c r="A715" s="120"/>
      <c r="B715" s="143"/>
      <c r="C715" s="120"/>
      <c r="D715" s="144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</row>
    <row r="716" ht="13.5" customHeight="1">
      <c r="A716" s="120"/>
      <c r="B716" s="143"/>
      <c r="C716" s="120"/>
      <c r="D716" s="144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</row>
    <row r="717" ht="13.5" customHeight="1">
      <c r="A717" s="120"/>
      <c r="B717" s="143"/>
      <c r="C717" s="120"/>
      <c r="D717" s="144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</row>
    <row r="718" ht="13.5" customHeight="1">
      <c r="A718" s="120"/>
      <c r="B718" s="143"/>
      <c r="C718" s="120"/>
      <c r="D718" s="144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</row>
    <row r="719" ht="13.5" customHeight="1">
      <c r="A719" s="120"/>
      <c r="B719" s="143"/>
      <c r="C719" s="120"/>
      <c r="D719" s="144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</row>
    <row r="720" ht="13.5" customHeight="1">
      <c r="A720" s="120"/>
      <c r="B720" s="143"/>
      <c r="C720" s="120"/>
      <c r="D720" s="144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</row>
    <row r="721" ht="13.5" customHeight="1">
      <c r="A721" s="120"/>
      <c r="B721" s="143"/>
      <c r="C721" s="120"/>
      <c r="D721" s="144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</row>
    <row r="722" ht="13.5" customHeight="1">
      <c r="A722" s="120"/>
      <c r="B722" s="143"/>
      <c r="C722" s="120"/>
      <c r="D722" s="144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</row>
    <row r="723" ht="13.5" customHeight="1">
      <c r="A723" s="120"/>
      <c r="B723" s="143"/>
      <c r="C723" s="120"/>
      <c r="D723" s="144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</row>
    <row r="724" ht="13.5" customHeight="1">
      <c r="A724" s="120"/>
      <c r="B724" s="143"/>
      <c r="C724" s="120"/>
      <c r="D724" s="144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</row>
    <row r="725" ht="13.5" customHeight="1">
      <c r="A725" s="120"/>
      <c r="B725" s="143"/>
      <c r="C725" s="120"/>
      <c r="D725" s="144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</row>
    <row r="726" ht="13.5" customHeight="1">
      <c r="A726" s="120"/>
      <c r="B726" s="143"/>
      <c r="C726" s="120"/>
      <c r="D726" s="144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</row>
    <row r="727" ht="13.5" customHeight="1">
      <c r="A727" s="120"/>
      <c r="B727" s="143"/>
      <c r="C727" s="120"/>
      <c r="D727" s="144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</row>
    <row r="728" ht="13.5" customHeight="1">
      <c r="A728" s="120"/>
      <c r="B728" s="143"/>
      <c r="C728" s="120"/>
      <c r="D728" s="144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</row>
    <row r="729" ht="13.5" customHeight="1">
      <c r="A729" s="120"/>
      <c r="B729" s="143"/>
      <c r="C729" s="120"/>
      <c r="D729" s="144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</row>
    <row r="730" ht="13.5" customHeight="1">
      <c r="A730" s="120"/>
      <c r="B730" s="143"/>
      <c r="C730" s="120"/>
      <c r="D730" s="144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 ht="13.5" customHeight="1">
      <c r="A731" s="120"/>
      <c r="B731" s="143"/>
      <c r="C731" s="120"/>
      <c r="D731" s="144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 ht="13.5" customHeight="1">
      <c r="A732" s="120"/>
      <c r="B732" s="143"/>
      <c r="C732" s="120"/>
      <c r="D732" s="144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 ht="13.5" customHeight="1">
      <c r="A733" s="120"/>
      <c r="B733" s="143"/>
      <c r="C733" s="120"/>
      <c r="D733" s="144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 ht="13.5" customHeight="1">
      <c r="A734" s="120"/>
      <c r="B734" s="143"/>
      <c r="C734" s="120"/>
      <c r="D734" s="144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 ht="13.5" customHeight="1">
      <c r="A735" s="120"/>
      <c r="B735" s="143"/>
      <c r="C735" s="120"/>
      <c r="D735" s="144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 ht="13.5" customHeight="1">
      <c r="A736" s="120"/>
      <c r="B736" s="143"/>
      <c r="C736" s="120"/>
      <c r="D736" s="144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 ht="13.5" customHeight="1">
      <c r="A737" s="120"/>
      <c r="B737" s="143"/>
      <c r="C737" s="120"/>
      <c r="D737" s="144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 ht="13.5" customHeight="1">
      <c r="A738" s="120"/>
      <c r="B738" s="143"/>
      <c r="C738" s="120"/>
      <c r="D738" s="144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 ht="13.5" customHeight="1">
      <c r="A739" s="120"/>
      <c r="B739" s="143"/>
      <c r="C739" s="120"/>
      <c r="D739" s="144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 ht="13.5" customHeight="1">
      <c r="A740" s="120"/>
      <c r="B740" s="143"/>
      <c r="C740" s="120"/>
      <c r="D740" s="144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 ht="13.5" customHeight="1">
      <c r="A741" s="120"/>
      <c r="B741" s="143"/>
      <c r="C741" s="120"/>
      <c r="D741" s="144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 ht="13.5" customHeight="1">
      <c r="A742" s="120"/>
      <c r="B742" s="143"/>
      <c r="C742" s="120"/>
      <c r="D742" s="144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 ht="13.5" customHeight="1">
      <c r="A743" s="120"/>
      <c r="B743" s="143"/>
      <c r="C743" s="120"/>
      <c r="D743" s="144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 ht="13.5" customHeight="1">
      <c r="A744" s="120"/>
      <c r="B744" s="143"/>
      <c r="C744" s="120"/>
      <c r="D744" s="144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 ht="13.5" customHeight="1">
      <c r="A745" s="120"/>
      <c r="B745" s="143"/>
      <c r="C745" s="120"/>
      <c r="D745" s="144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 ht="13.5" customHeight="1">
      <c r="A746" s="120"/>
      <c r="B746" s="143"/>
      <c r="C746" s="120"/>
      <c r="D746" s="144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 ht="13.5" customHeight="1">
      <c r="A747" s="120"/>
      <c r="B747" s="143"/>
      <c r="C747" s="120"/>
      <c r="D747" s="144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 ht="13.5" customHeight="1">
      <c r="A748" s="120"/>
      <c r="B748" s="143"/>
      <c r="C748" s="120"/>
      <c r="D748" s="144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 ht="13.5" customHeight="1">
      <c r="A749" s="120"/>
      <c r="B749" s="143"/>
      <c r="C749" s="120"/>
      <c r="D749" s="144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 ht="13.5" customHeight="1">
      <c r="A750" s="120"/>
      <c r="B750" s="143"/>
      <c r="C750" s="120"/>
      <c r="D750" s="144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 ht="13.5" customHeight="1">
      <c r="A751" s="120"/>
      <c r="B751" s="143"/>
      <c r="C751" s="120"/>
      <c r="D751" s="144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 ht="13.5" customHeight="1">
      <c r="A752" s="120"/>
      <c r="B752" s="143"/>
      <c r="C752" s="120"/>
      <c r="D752" s="144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 ht="13.5" customHeight="1">
      <c r="A753" s="120"/>
      <c r="B753" s="143"/>
      <c r="C753" s="120"/>
      <c r="D753" s="144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 ht="13.5" customHeight="1">
      <c r="A754" s="120"/>
      <c r="B754" s="143"/>
      <c r="C754" s="120"/>
      <c r="D754" s="144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 ht="13.5" customHeight="1">
      <c r="A755" s="120"/>
      <c r="B755" s="143"/>
      <c r="C755" s="120"/>
      <c r="D755" s="144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 ht="13.5" customHeight="1">
      <c r="A756" s="120"/>
      <c r="B756" s="143"/>
      <c r="C756" s="120"/>
      <c r="D756" s="144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 ht="13.5" customHeight="1">
      <c r="A757" s="120"/>
      <c r="B757" s="143"/>
      <c r="C757" s="120"/>
      <c r="D757" s="144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 ht="13.5" customHeight="1">
      <c r="A758" s="120"/>
      <c r="B758" s="143"/>
      <c r="C758" s="120"/>
      <c r="D758" s="144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 ht="13.5" customHeight="1">
      <c r="A759" s="120"/>
      <c r="B759" s="143"/>
      <c r="C759" s="120"/>
      <c r="D759" s="144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 ht="13.5" customHeight="1">
      <c r="A760" s="120"/>
      <c r="B760" s="143"/>
      <c r="C760" s="120"/>
      <c r="D760" s="144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 ht="13.5" customHeight="1">
      <c r="A761" s="120"/>
      <c r="B761" s="143"/>
      <c r="C761" s="120"/>
      <c r="D761" s="144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 ht="13.5" customHeight="1">
      <c r="A762" s="120"/>
      <c r="B762" s="143"/>
      <c r="C762" s="120"/>
      <c r="D762" s="144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 ht="13.5" customHeight="1">
      <c r="A763" s="120"/>
      <c r="B763" s="143"/>
      <c r="C763" s="120"/>
      <c r="D763" s="144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 ht="13.5" customHeight="1">
      <c r="A764" s="120"/>
      <c r="B764" s="143"/>
      <c r="C764" s="120"/>
      <c r="D764" s="144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 ht="13.5" customHeight="1">
      <c r="A765" s="120"/>
      <c r="B765" s="143"/>
      <c r="C765" s="120"/>
      <c r="D765" s="144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 ht="13.5" customHeight="1">
      <c r="A766" s="120"/>
      <c r="B766" s="143"/>
      <c r="C766" s="120"/>
      <c r="D766" s="144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 ht="13.5" customHeight="1">
      <c r="A767" s="120"/>
      <c r="B767" s="143"/>
      <c r="C767" s="120"/>
      <c r="D767" s="144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 ht="13.5" customHeight="1">
      <c r="A768" s="120"/>
      <c r="B768" s="143"/>
      <c r="C768" s="120"/>
      <c r="D768" s="144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 ht="13.5" customHeight="1">
      <c r="A769" s="120"/>
      <c r="B769" s="143"/>
      <c r="C769" s="120"/>
      <c r="D769" s="144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 ht="13.5" customHeight="1">
      <c r="A770" s="120"/>
      <c r="B770" s="143"/>
      <c r="C770" s="120"/>
      <c r="D770" s="144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 ht="13.5" customHeight="1">
      <c r="A771" s="120"/>
      <c r="B771" s="143"/>
      <c r="C771" s="120"/>
      <c r="D771" s="144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 ht="13.5" customHeight="1">
      <c r="A772" s="120"/>
      <c r="B772" s="143"/>
      <c r="C772" s="120"/>
      <c r="D772" s="144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 ht="13.5" customHeight="1">
      <c r="A773" s="120"/>
      <c r="B773" s="143"/>
      <c r="C773" s="120"/>
      <c r="D773" s="144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 ht="13.5" customHeight="1">
      <c r="A774" s="120"/>
      <c r="B774" s="143"/>
      <c r="C774" s="120"/>
      <c r="D774" s="144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 ht="13.5" customHeight="1">
      <c r="A775" s="120"/>
      <c r="B775" s="143"/>
      <c r="C775" s="120"/>
      <c r="D775" s="144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 ht="13.5" customHeight="1">
      <c r="A776" s="120"/>
      <c r="B776" s="143"/>
      <c r="C776" s="120"/>
      <c r="D776" s="144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 ht="13.5" customHeight="1">
      <c r="A777" s="120"/>
      <c r="B777" s="143"/>
      <c r="C777" s="120"/>
      <c r="D777" s="144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 ht="13.5" customHeight="1">
      <c r="A778" s="120"/>
      <c r="B778" s="143"/>
      <c r="C778" s="120"/>
      <c r="D778" s="144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 ht="13.5" customHeight="1">
      <c r="A779" s="120"/>
      <c r="B779" s="143"/>
      <c r="C779" s="120"/>
      <c r="D779" s="144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 ht="13.5" customHeight="1">
      <c r="A780" s="120"/>
      <c r="B780" s="143"/>
      <c r="C780" s="120"/>
      <c r="D780" s="144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 ht="13.5" customHeight="1">
      <c r="A781" s="120"/>
      <c r="B781" s="143"/>
      <c r="C781" s="120"/>
      <c r="D781" s="144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 ht="13.5" customHeight="1">
      <c r="A782" s="120"/>
      <c r="B782" s="143"/>
      <c r="C782" s="120"/>
      <c r="D782" s="144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 ht="13.5" customHeight="1">
      <c r="A783" s="120"/>
      <c r="B783" s="143"/>
      <c r="C783" s="120"/>
      <c r="D783" s="144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 ht="13.5" customHeight="1">
      <c r="A784" s="120"/>
      <c r="B784" s="143"/>
      <c r="C784" s="120"/>
      <c r="D784" s="144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 ht="13.5" customHeight="1">
      <c r="A785" s="120"/>
      <c r="B785" s="143"/>
      <c r="C785" s="120"/>
      <c r="D785" s="144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 ht="13.5" customHeight="1">
      <c r="A786" s="120"/>
      <c r="B786" s="143"/>
      <c r="C786" s="120"/>
      <c r="D786" s="144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 ht="13.5" customHeight="1">
      <c r="A787" s="120"/>
      <c r="B787" s="143"/>
      <c r="C787" s="120"/>
      <c r="D787" s="144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 ht="13.5" customHeight="1">
      <c r="A788" s="120"/>
      <c r="B788" s="143"/>
      <c r="C788" s="120"/>
      <c r="D788" s="144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 ht="13.5" customHeight="1">
      <c r="A789" s="120"/>
      <c r="B789" s="143"/>
      <c r="C789" s="120"/>
      <c r="D789" s="144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 ht="13.5" customHeight="1">
      <c r="A790" s="120"/>
      <c r="B790" s="143"/>
      <c r="C790" s="120"/>
      <c r="D790" s="144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 ht="13.5" customHeight="1">
      <c r="A791" s="120"/>
      <c r="B791" s="143"/>
      <c r="C791" s="120"/>
      <c r="D791" s="144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 ht="13.5" customHeight="1">
      <c r="A792" s="120"/>
      <c r="B792" s="143"/>
      <c r="C792" s="120"/>
      <c r="D792" s="144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 ht="13.5" customHeight="1">
      <c r="A793" s="120"/>
      <c r="B793" s="143"/>
      <c r="C793" s="120"/>
      <c r="D793" s="144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 ht="13.5" customHeight="1">
      <c r="A794" s="120"/>
      <c r="B794" s="143"/>
      <c r="C794" s="120"/>
      <c r="D794" s="144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 ht="13.5" customHeight="1">
      <c r="A795" s="120"/>
      <c r="B795" s="143"/>
      <c r="C795" s="120"/>
      <c r="D795" s="144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 ht="13.5" customHeight="1">
      <c r="A796" s="120"/>
      <c r="B796" s="143"/>
      <c r="C796" s="120"/>
      <c r="D796" s="144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 ht="13.5" customHeight="1">
      <c r="A797" s="120"/>
      <c r="B797" s="143"/>
      <c r="C797" s="120"/>
      <c r="D797" s="144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 ht="13.5" customHeight="1">
      <c r="A798" s="120"/>
      <c r="B798" s="143"/>
      <c r="C798" s="120"/>
      <c r="D798" s="144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 ht="13.5" customHeight="1">
      <c r="A799" s="120"/>
      <c r="B799" s="143"/>
      <c r="C799" s="120"/>
      <c r="D799" s="144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 ht="13.5" customHeight="1">
      <c r="A800" s="120"/>
      <c r="B800" s="143"/>
      <c r="C800" s="120"/>
      <c r="D800" s="144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 ht="13.5" customHeight="1">
      <c r="A801" s="120"/>
      <c r="B801" s="143"/>
      <c r="C801" s="120"/>
      <c r="D801" s="144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 ht="13.5" customHeight="1">
      <c r="A802" s="120"/>
      <c r="B802" s="143"/>
      <c r="C802" s="120"/>
      <c r="D802" s="144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 ht="13.5" customHeight="1">
      <c r="A803" s="120"/>
      <c r="B803" s="143"/>
      <c r="C803" s="120"/>
      <c r="D803" s="144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 ht="13.5" customHeight="1">
      <c r="A804" s="120"/>
      <c r="B804" s="143"/>
      <c r="C804" s="120"/>
      <c r="D804" s="144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 ht="13.5" customHeight="1">
      <c r="A805" s="120"/>
      <c r="B805" s="143"/>
      <c r="C805" s="120"/>
      <c r="D805" s="144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 ht="13.5" customHeight="1">
      <c r="A806" s="120"/>
      <c r="B806" s="143"/>
      <c r="C806" s="120"/>
      <c r="D806" s="144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 ht="13.5" customHeight="1">
      <c r="A807" s="120"/>
      <c r="B807" s="143"/>
      <c r="C807" s="120"/>
      <c r="D807" s="144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 ht="13.5" customHeight="1">
      <c r="A808" s="120"/>
      <c r="B808" s="143"/>
      <c r="C808" s="120"/>
      <c r="D808" s="144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 ht="13.5" customHeight="1">
      <c r="A809" s="120"/>
      <c r="B809" s="143"/>
      <c r="C809" s="120"/>
      <c r="D809" s="144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 ht="13.5" customHeight="1">
      <c r="A810" s="120"/>
      <c r="B810" s="143"/>
      <c r="C810" s="120"/>
      <c r="D810" s="144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 ht="13.5" customHeight="1">
      <c r="A811" s="120"/>
      <c r="B811" s="143"/>
      <c r="C811" s="120"/>
      <c r="D811" s="144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 ht="13.5" customHeight="1">
      <c r="A812" s="120"/>
      <c r="B812" s="143"/>
      <c r="C812" s="120"/>
      <c r="D812" s="144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 ht="13.5" customHeight="1">
      <c r="A813" s="120"/>
      <c r="B813" s="143"/>
      <c r="C813" s="120"/>
      <c r="D813" s="144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 ht="13.5" customHeight="1">
      <c r="A814" s="120"/>
      <c r="B814" s="143"/>
      <c r="C814" s="120"/>
      <c r="D814" s="144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 ht="13.5" customHeight="1">
      <c r="A815" s="120"/>
      <c r="B815" s="143"/>
      <c r="C815" s="120"/>
      <c r="D815" s="144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 ht="13.5" customHeight="1">
      <c r="A816" s="120"/>
      <c r="B816" s="143"/>
      <c r="C816" s="120"/>
      <c r="D816" s="144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 ht="13.5" customHeight="1">
      <c r="A817" s="120"/>
      <c r="B817" s="143"/>
      <c r="C817" s="120"/>
      <c r="D817" s="144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 ht="13.5" customHeight="1">
      <c r="A818" s="120"/>
      <c r="B818" s="143"/>
      <c r="C818" s="120"/>
      <c r="D818" s="144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 ht="13.5" customHeight="1">
      <c r="A819" s="120"/>
      <c r="B819" s="143"/>
      <c r="C819" s="120"/>
      <c r="D819" s="144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 ht="13.5" customHeight="1">
      <c r="A820" s="120"/>
      <c r="B820" s="143"/>
      <c r="C820" s="120"/>
      <c r="D820" s="144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 ht="13.5" customHeight="1">
      <c r="A821" s="120"/>
      <c r="B821" s="143"/>
      <c r="C821" s="120"/>
      <c r="D821" s="144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 ht="13.5" customHeight="1">
      <c r="A822" s="120"/>
      <c r="B822" s="143"/>
      <c r="C822" s="120"/>
      <c r="D822" s="144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 ht="13.5" customHeight="1">
      <c r="A823" s="120"/>
      <c r="B823" s="143"/>
      <c r="C823" s="120"/>
      <c r="D823" s="144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 ht="13.5" customHeight="1">
      <c r="A824" s="120"/>
      <c r="B824" s="143"/>
      <c r="C824" s="120"/>
      <c r="D824" s="144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 ht="13.5" customHeight="1">
      <c r="A825" s="120"/>
      <c r="B825" s="143"/>
      <c r="C825" s="120"/>
      <c r="D825" s="144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 ht="13.5" customHeight="1">
      <c r="A826" s="120"/>
      <c r="B826" s="143"/>
      <c r="C826" s="120"/>
      <c r="D826" s="144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 ht="13.5" customHeight="1">
      <c r="A827" s="120"/>
      <c r="B827" s="143"/>
      <c r="C827" s="120"/>
      <c r="D827" s="144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 ht="13.5" customHeight="1">
      <c r="A828" s="120"/>
      <c r="B828" s="143"/>
      <c r="C828" s="120"/>
      <c r="D828" s="144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 ht="13.5" customHeight="1">
      <c r="A829" s="120"/>
      <c r="B829" s="143"/>
      <c r="C829" s="120"/>
      <c r="D829" s="144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 ht="13.5" customHeight="1">
      <c r="A830" s="120"/>
      <c r="B830" s="143"/>
      <c r="C830" s="120"/>
      <c r="D830" s="144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 ht="13.5" customHeight="1">
      <c r="A831" s="120"/>
      <c r="B831" s="143"/>
      <c r="C831" s="120"/>
      <c r="D831" s="144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 ht="13.5" customHeight="1">
      <c r="A832" s="120"/>
      <c r="B832" s="143"/>
      <c r="C832" s="120"/>
      <c r="D832" s="144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 ht="13.5" customHeight="1">
      <c r="A833" s="120"/>
      <c r="B833" s="143"/>
      <c r="C833" s="120"/>
      <c r="D833" s="144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 ht="13.5" customHeight="1">
      <c r="A834" s="120"/>
      <c r="B834" s="143"/>
      <c r="C834" s="120"/>
      <c r="D834" s="144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 ht="13.5" customHeight="1">
      <c r="A835" s="120"/>
      <c r="B835" s="143"/>
      <c r="C835" s="120"/>
      <c r="D835" s="144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 ht="13.5" customHeight="1">
      <c r="A836" s="120"/>
      <c r="B836" s="143"/>
      <c r="C836" s="120"/>
      <c r="D836" s="144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 ht="13.5" customHeight="1">
      <c r="A837" s="120"/>
      <c r="B837" s="143"/>
      <c r="C837" s="120"/>
      <c r="D837" s="144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 ht="13.5" customHeight="1">
      <c r="A838" s="120"/>
      <c r="B838" s="143"/>
      <c r="C838" s="120"/>
      <c r="D838" s="144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 ht="13.5" customHeight="1">
      <c r="A839" s="120"/>
      <c r="B839" s="143"/>
      <c r="C839" s="120"/>
      <c r="D839" s="144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 ht="13.5" customHeight="1">
      <c r="A840" s="120"/>
      <c r="B840" s="143"/>
      <c r="C840" s="120"/>
      <c r="D840" s="144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 ht="13.5" customHeight="1">
      <c r="A841" s="120"/>
      <c r="B841" s="143"/>
      <c r="C841" s="120"/>
      <c r="D841" s="144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 ht="13.5" customHeight="1">
      <c r="A842" s="120"/>
      <c r="B842" s="143"/>
      <c r="C842" s="120"/>
      <c r="D842" s="144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 ht="13.5" customHeight="1">
      <c r="A843" s="120"/>
      <c r="B843" s="143"/>
      <c r="C843" s="120"/>
      <c r="D843" s="144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 ht="13.5" customHeight="1">
      <c r="A844" s="120"/>
      <c r="B844" s="143"/>
      <c r="C844" s="120"/>
      <c r="D844" s="144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 ht="13.5" customHeight="1">
      <c r="A845" s="120"/>
      <c r="B845" s="143"/>
      <c r="C845" s="120"/>
      <c r="D845" s="144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 ht="13.5" customHeight="1">
      <c r="A846" s="120"/>
      <c r="B846" s="143"/>
      <c r="C846" s="120"/>
      <c r="D846" s="144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 ht="13.5" customHeight="1">
      <c r="A847" s="120"/>
      <c r="B847" s="143"/>
      <c r="C847" s="120"/>
      <c r="D847" s="144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 ht="13.5" customHeight="1">
      <c r="A848" s="120"/>
      <c r="B848" s="143"/>
      <c r="C848" s="120"/>
      <c r="D848" s="144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 ht="13.5" customHeight="1">
      <c r="A849" s="120"/>
      <c r="B849" s="143"/>
      <c r="C849" s="120"/>
      <c r="D849" s="144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 ht="13.5" customHeight="1">
      <c r="A850" s="120"/>
      <c r="B850" s="143"/>
      <c r="C850" s="120"/>
      <c r="D850" s="144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 ht="13.5" customHeight="1">
      <c r="A851" s="120"/>
      <c r="B851" s="143"/>
      <c r="C851" s="120"/>
      <c r="D851" s="144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 ht="13.5" customHeight="1">
      <c r="A852" s="120"/>
      <c r="B852" s="143"/>
      <c r="C852" s="120"/>
      <c r="D852" s="144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 ht="13.5" customHeight="1">
      <c r="A853" s="120"/>
      <c r="B853" s="143"/>
      <c r="C853" s="120"/>
      <c r="D853" s="144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 ht="13.5" customHeight="1">
      <c r="A854" s="120"/>
      <c r="B854" s="143"/>
      <c r="C854" s="120"/>
      <c r="D854" s="144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 ht="13.5" customHeight="1">
      <c r="A855" s="120"/>
      <c r="B855" s="143"/>
      <c r="C855" s="120"/>
      <c r="D855" s="144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 ht="13.5" customHeight="1">
      <c r="A856" s="120"/>
      <c r="B856" s="143"/>
      <c r="C856" s="120"/>
      <c r="D856" s="144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 ht="13.5" customHeight="1">
      <c r="A857" s="120"/>
      <c r="B857" s="143"/>
      <c r="C857" s="120"/>
      <c r="D857" s="144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 ht="13.5" customHeight="1">
      <c r="A858" s="120"/>
      <c r="B858" s="143"/>
      <c r="C858" s="120"/>
      <c r="D858" s="144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 ht="13.5" customHeight="1">
      <c r="A859" s="120"/>
      <c r="B859" s="143"/>
      <c r="C859" s="120"/>
      <c r="D859" s="144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 ht="13.5" customHeight="1">
      <c r="A860" s="120"/>
      <c r="B860" s="143"/>
      <c r="C860" s="120"/>
      <c r="D860" s="144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 ht="13.5" customHeight="1">
      <c r="A861" s="120"/>
      <c r="B861" s="143"/>
      <c r="C861" s="120"/>
      <c r="D861" s="144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 ht="13.5" customHeight="1">
      <c r="A862" s="120"/>
      <c r="B862" s="143"/>
      <c r="C862" s="120"/>
      <c r="D862" s="144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 ht="13.5" customHeight="1">
      <c r="A863" s="120"/>
      <c r="B863" s="143"/>
      <c r="C863" s="120"/>
      <c r="D863" s="144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 ht="13.5" customHeight="1">
      <c r="A864" s="120"/>
      <c r="B864" s="143"/>
      <c r="C864" s="120"/>
      <c r="D864" s="144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 ht="13.5" customHeight="1">
      <c r="A865" s="120"/>
      <c r="B865" s="143"/>
      <c r="C865" s="120"/>
      <c r="D865" s="144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 ht="13.5" customHeight="1">
      <c r="A866" s="120"/>
      <c r="B866" s="143"/>
      <c r="C866" s="120"/>
      <c r="D866" s="144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 ht="13.5" customHeight="1">
      <c r="A867" s="120"/>
      <c r="B867" s="143"/>
      <c r="C867" s="120"/>
      <c r="D867" s="144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 ht="13.5" customHeight="1">
      <c r="A868" s="120"/>
      <c r="B868" s="143"/>
      <c r="C868" s="120"/>
      <c r="D868" s="144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 ht="13.5" customHeight="1">
      <c r="A869" s="120"/>
      <c r="B869" s="143"/>
      <c r="C869" s="120"/>
      <c r="D869" s="144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 ht="13.5" customHeight="1">
      <c r="A870" s="120"/>
      <c r="B870" s="143"/>
      <c r="C870" s="120"/>
      <c r="D870" s="144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 ht="13.5" customHeight="1">
      <c r="A871" s="120"/>
      <c r="B871" s="143"/>
      <c r="C871" s="120"/>
      <c r="D871" s="144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 ht="13.5" customHeight="1">
      <c r="A872" s="120"/>
      <c r="B872" s="143"/>
      <c r="C872" s="120"/>
      <c r="D872" s="144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 ht="13.5" customHeight="1">
      <c r="A873" s="120"/>
      <c r="B873" s="143"/>
      <c r="C873" s="120"/>
      <c r="D873" s="144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 ht="13.5" customHeight="1">
      <c r="A874" s="120"/>
      <c r="B874" s="143"/>
      <c r="C874" s="120"/>
      <c r="D874" s="144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 ht="13.5" customHeight="1">
      <c r="A875" s="120"/>
      <c r="B875" s="143"/>
      <c r="C875" s="120"/>
      <c r="D875" s="144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 ht="13.5" customHeight="1">
      <c r="A876" s="120"/>
      <c r="B876" s="143"/>
      <c r="C876" s="120"/>
      <c r="D876" s="144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 ht="13.5" customHeight="1">
      <c r="A877" s="120"/>
      <c r="B877" s="143"/>
      <c r="C877" s="120"/>
      <c r="D877" s="144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 ht="13.5" customHeight="1">
      <c r="A878" s="120"/>
      <c r="B878" s="143"/>
      <c r="C878" s="120"/>
      <c r="D878" s="144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 ht="13.5" customHeight="1">
      <c r="A879" s="120"/>
      <c r="B879" s="143"/>
      <c r="C879" s="120"/>
      <c r="D879" s="144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 ht="13.5" customHeight="1">
      <c r="A880" s="120"/>
      <c r="B880" s="143"/>
      <c r="C880" s="120"/>
      <c r="D880" s="144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 ht="13.5" customHeight="1">
      <c r="A881" s="120"/>
      <c r="B881" s="143"/>
      <c r="C881" s="120"/>
      <c r="D881" s="144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 ht="13.5" customHeight="1">
      <c r="A882" s="120"/>
      <c r="B882" s="143"/>
      <c r="C882" s="120"/>
      <c r="D882" s="144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 ht="13.5" customHeight="1">
      <c r="A883" s="120"/>
      <c r="B883" s="143"/>
      <c r="C883" s="120"/>
      <c r="D883" s="144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 ht="13.5" customHeight="1">
      <c r="A884" s="120"/>
      <c r="B884" s="143"/>
      <c r="C884" s="120"/>
      <c r="D884" s="144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 ht="13.5" customHeight="1">
      <c r="A885" s="120"/>
      <c r="B885" s="143"/>
      <c r="C885" s="120"/>
      <c r="D885" s="144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 ht="13.5" customHeight="1">
      <c r="A886" s="120"/>
      <c r="B886" s="143"/>
      <c r="C886" s="120"/>
      <c r="D886" s="144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 ht="13.5" customHeight="1">
      <c r="A887" s="120"/>
      <c r="B887" s="143"/>
      <c r="C887" s="120"/>
      <c r="D887" s="144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 ht="13.5" customHeight="1">
      <c r="A888" s="120"/>
      <c r="B888" s="143"/>
      <c r="C888" s="120"/>
      <c r="D888" s="144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 ht="13.5" customHeight="1">
      <c r="A889" s="120"/>
      <c r="B889" s="143"/>
      <c r="C889" s="120"/>
      <c r="D889" s="144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 ht="13.5" customHeight="1">
      <c r="A890" s="120"/>
      <c r="B890" s="143"/>
      <c r="C890" s="120"/>
      <c r="D890" s="144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 ht="13.5" customHeight="1">
      <c r="A891" s="120"/>
      <c r="B891" s="143"/>
      <c r="C891" s="120"/>
      <c r="D891" s="144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 ht="13.5" customHeight="1">
      <c r="A892" s="120"/>
      <c r="B892" s="143"/>
      <c r="C892" s="120"/>
      <c r="D892" s="144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 ht="13.5" customHeight="1">
      <c r="A893" s="120"/>
      <c r="B893" s="143"/>
      <c r="C893" s="120"/>
      <c r="D893" s="144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 ht="13.5" customHeight="1">
      <c r="A894" s="120"/>
      <c r="B894" s="143"/>
      <c r="C894" s="120"/>
      <c r="D894" s="144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 ht="13.5" customHeight="1">
      <c r="A895" s="120"/>
      <c r="B895" s="143"/>
      <c r="C895" s="120"/>
      <c r="D895" s="144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 ht="13.5" customHeight="1">
      <c r="A896" s="120"/>
      <c r="B896" s="143"/>
      <c r="C896" s="120"/>
      <c r="D896" s="144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 ht="13.5" customHeight="1">
      <c r="A897" s="120"/>
      <c r="B897" s="143"/>
      <c r="C897" s="120"/>
      <c r="D897" s="144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 ht="13.5" customHeight="1">
      <c r="A898" s="120"/>
      <c r="B898" s="143"/>
      <c r="C898" s="120"/>
      <c r="D898" s="144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 ht="13.5" customHeight="1">
      <c r="A899" s="120"/>
      <c r="B899" s="143"/>
      <c r="C899" s="120"/>
      <c r="D899" s="144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 ht="13.5" customHeight="1">
      <c r="A900" s="120"/>
      <c r="B900" s="143"/>
      <c r="C900" s="120"/>
      <c r="D900" s="144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 ht="13.5" customHeight="1">
      <c r="A901" s="120"/>
      <c r="B901" s="143"/>
      <c r="C901" s="120"/>
      <c r="D901" s="144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 ht="13.5" customHeight="1">
      <c r="A902" s="120"/>
      <c r="B902" s="143"/>
      <c r="C902" s="120"/>
      <c r="D902" s="144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 ht="13.5" customHeight="1">
      <c r="A903" s="120"/>
      <c r="B903" s="143"/>
      <c r="C903" s="120"/>
      <c r="D903" s="144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 ht="13.5" customHeight="1">
      <c r="A904" s="120"/>
      <c r="B904" s="143"/>
      <c r="C904" s="120"/>
      <c r="D904" s="144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 ht="13.5" customHeight="1">
      <c r="A905" s="120"/>
      <c r="B905" s="143"/>
      <c r="C905" s="120"/>
      <c r="D905" s="144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 ht="13.5" customHeight="1">
      <c r="A906" s="120"/>
      <c r="B906" s="143"/>
      <c r="C906" s="120"/>
      <c r="D906" s="144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 ht="13.5" customHeight="1">
      <c r="A907" s="120"/>
      <c r="B907" s="143"/>
      <c r="C907" s="120"/>
      <c r="D907" s="144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 ht="13.5" customHeight="1">
      <c r="A908" s="120"/>
      <c r="B908" s="143"/>
      <c r="C908" s="120"/>
      <c r="D908" s="144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 ht="13.5" customHeight="1">
      <c r="A909" s="120"/>
      <c r="B909" s="143"/>
      <c r="C909" s="120"/>
      <c r="D909" s="144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 ht="13.5" customHeight="1">
      <c r="A910" s="120"/>
      <c r="B910" s="143"/>
      <c r="C910" s="120"/>
      <c r="D910" s="144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 ht="13.5" customHeight="1">
      <c r="A911" s="120"/>
      <c r="B911" s="143"/>
      <c r="C911" s="120"/>
      <c r="D911" s="144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 ht="13.5" customHeight="1">
      <c r="A912" s="120"/>
      <c r="B912" s="143"/>
      <c r="C912" s="120"/>
      <c r="D912" s="144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 ht="13.5" customHeight="1">
      <c r="A913" s="120"/>
      <c r="B913" s="143"/>
      <c r="C913" s="120"/>
      <c r="D913" s="144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 ht="13.5" customHeight="1">
      <c r="A914" s="120"/>
      <c r="B914" s="143"/>
      <c r="C914" s="120"/>
      <c r="D914" s="144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 ht="13.5" customHeight="1">
      <c r="A915" s="120"/>
      <c r="B915" s="143"/>
      <c r="C915" s="120"/>
      <c r="D915" s="144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 ht="13.5" customHeight="1">
      <c r="A916" s="120"/>
      <c r="B916" s="143"/>
      <c r="C916" s="120"/>
      <c r="D916" s="144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 ht="13.5" customHeight="1">
      <c r="A917" s="120"/>
      <c r="B917" s="143"/>
      <c r="C917" s="120"/>
      <c r="D917" s="144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 ht="13.5" customHeight="1">
      <c r="A918" s="120"/>
      <c r="B918" s="143"/>
      <c r="C918" s="120"/>
      <c r="D918" s="144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 ht="13.5" customHeight="1">
      <c r="A919" s="120"/>
      <c r="B919" s="143"/>
      <c r="C919" s="120"/>
      <c r="D919" s="144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 ht="13.5" customHeight="1">
      <c r="A920" s="120"/>
      <c r="B920" s="143"/>
      <c r="C920" s="120"/>
      <c r="D920" s="144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 ht="13.5" customHeight="1">
      <c r="A921" s="120"/>
      <c r="B921" s="143"/>
      <c r="C921" s="120"/>
      <c r="D921" s="144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 ht="13.5" customHeight="1">
      <c r="A922" s="120"/>
      <c r="B922" s="143"/>
      <c r="C922" s="120"/>
      <c r="D922" s="144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 ht="13.5" customHeight="1">
      <c r="A923" s="120"/>
      <c r="B923" s="143"/>
      <c r="C923" s="120"/>
      <c r="D923" s="144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 ht="13.5" customHeight="1">
      <c r="A924" s="120"/>
      <c r="B924" s="143"/>
      <c r="C924" s="120"/>
      <c r="D924" s="144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 ht="13.5" customHeight="1">
      <c r="A925" s="120"/>
      <c r="B925" s="143"/>
      <c r="C925" s="120"/>
      <c r="D925" s="144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 ht="13.5" customHeight="1">
      <c r="A926" s="120"/>
      <c r="B926" s="143"/>
      <c r="C926" s="120"/>
      <c r="D926" s="144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 ht="13.5" customHeight="1">
      <c r="A927" s="120"/>
      <c r="B927" s="143"/>
      <c r="C927" s="120"/>
      <c r="D927" s="144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 ht="13.5" customHeight="1">
      <c r="A928" s="120"/>
      <c r="B928" s="143"/>
      <c r="C928" s="120"/>
      <c r="D928" s="144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 ht="13.5" customHeight="1">
      <c r="A929" s="120"/>
      <c r="B929" s="143"/>
      <c r="C929" s="120"/>
      <c r="D929" s="144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 ht="13.5" customHeight="1">
      <c r="A930" s="120"/>
      <c r="B930" s="143"/>
      <c r="C930" s="120"/>
      <c r="D930" s="144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 ht="13.5" customHeight="1">
      <c r="A931" s="120"/>
      <c r="B931" s="143"/>
      <c r="C931" s="120"/>
      <c r="D931" s="144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 ht="13.5" customHeight="1">
      <c r="A932" s="120"/>
      <c r="B932" s="143"/>
      <c r="C932" s="120"/>
      <c r="D932" s="144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 ht="13.5" customHeight="1">
      <c r="A933" s="120"/>
      <c r="B933" s="143"/>
      <c r="C933" s="120"/>
      <c r="D933" s="144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 ht="13.5" customHeight="1">
      <c r="A934" s="120"/>
      <c r="B934" s="143"/>
      <c r="C934" s="120"/>
      <c r="D934" s="144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 ht="13.5" customHeight="1">
      <c r="A935" s="120"/>
      <c r="B935" s="143"/>
      <c r="C935" s="120"/>
      <c r="D935" s="144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 ht="13.5" customHeight="1">
      <c r="A936" s="120"/>
      <c r="B936" s="143"/>
      <c r="C936" s="120"/>
      <c r="D936" s="144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 ht="13.5" customHeight="1">
      <c r="A937" s="120"/>
      <c r="B937" s="143"/>
      <c r="C937" s="120"/>
      <c r="D937" s="144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 ht="13.5" customHeight="1">
      <c r="A938" s="120"/>
      <c r="B938" s="143"/>
      <c r="C938" s="120"/>
      <c r="D938" s="144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 ht="13.5" customHeight="1">
      <c r="A939" s="120"/>
      <c r="B939" s="143"/>
      <c r="C939" s="120"/>
      <c r="D939" s="144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 ht="13.5" customHeight="1">
      <c r="A940" s="120"/>
      <c r="B940" s="143"/>
      <c r="C940" s="120"/>
      <c r="D940" s="144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 ht="13.5" customHeight="1">
      <c r="A941" s="120"/>
      <c r="B941" s="143"/>
      <c r="C941" s="120"/>
      <c r="D941" s="144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 ht="13.5" customHeight="1">
      <c r="A942" s="120"/>
      <c r="B942" s="143"/>
      <c r="C942" s="120"/>
      <c r="D942" s="144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 ht="13.5" customHeight="1">
      <c r="A943" s="120"/>
      <c r="B943" s="143"/>
      <c r="C943" s="120"/>
      <c r="D943" s="144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 ht="13.5" customHeight="1">
      <c r="A944" s="120"/>
      <c r="B944" s="143"/>
      <c r="C944" s="120"/>
      <c r="D944" s="144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 ht="13.5" customHeight="1">
      <c r="A945" s="120"/>
      <c r="B945" s="143"/>
      <c r="C945" s="120"/>
      <c r="D945" s="144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 ht="13.5" customHeight="1">
      <c r="A946" s="120"/>
      <c r="B946" s="143"/>
      <c r="C946" s="120"/>
      <c r="D946" s="144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 ht="13.5" customHeight="1">
      <c r="A947" s="120"/>
      <c r="B947" s="143"/>
      <c r="C947" s="120"/>
      <c r="D947" s="144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 ht="13.5" customHeight="1">
      <c r="A948" s="120"/>
      <c r="B948" s="143"/>
      <c r="C948" s="120"/>
      <c r="D948" s="144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 ht="13.5" customHeight="1">
      <c r="A949" s="120"/>
      <c r="B949" s="143"/>
      <c r="C949" s="120"/>
      <c r="D949" s="144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 ht="13.5" customHeight="1">
      <c r="A950" s="120"/>
      <c r="B950" s="143"/>
      <c r="C950" s="120"/>
      <c r="D950" s="144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 ht="13.5" customHeight="1">
      <c r="A951" s="120"/>
      <c r="B951" s="143"/>
      <c r="C951" s="120"/>
      <c r="D951" s="144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 ht="13.5" customHeight="1">
      <c r="A952" s="120"/>
      <c r="B952" s="143"/>
      <c r="C952" s="120"/>
      <c r="D952" s="144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 ht="13.5" customHeight="1">
      <c r="A953" s="120"/>
      <c r="B953" s="143"/>
      <c r="C953" s="120"/>
      <c r="D953" s="144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 ht="13.5" customHeight="1">
      <c r="A954" s="120"/>
      <c r="B954" s="143"/>
      <c r="C954" s="120"/>
      <c r="D954" s="144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 ht="13.5" customHeight="1">
      <c r="A955" s="120"/>
      <c r="B955" s="143"/>
      <c r="C955" s="120"/>
      <c r="D955" s="144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 ht="13.5" customHeight="1">
      <c r="A956" s="120"/>
      <c r="B956" s="143"/>
      <c r="C956" s="120"/>
      <c r="D956" s="144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 ht="13.5" customHeight="1">
      <c r="A957" s="120"/>
      <c r="B957" s="143"/>
      <c r="C957" s="120"/>
      <c r="D957" s="144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 ht="13.5" customHeight="1">
      <c r="A958" s="120"/>
      <c r="B958" s="143"/>
      <c r="C958" s="120"/>
      <c r="D958" s="144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 ht="13.5" customHeight="1">
      <c r="A959" s="120"/>
      <c r="B959" s="143"/>
      <c r="C959" s="120"/>
      <c r="D959" s="144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 ht="13.5" customHeight="1">
      <c r="A960" s="120"/>
      <c r="B960" s="143"/>
      <c r="C960" s="120"/>
      <c r="D960" s="144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 ht="13.5" customHeight="1">
      <c r="A961" s="120"/>
      <c r="B961" s="143"/>
      <c r="C961" s="120"/>
      <c r="D961" s="144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 ht="13.5" customHeight="1">
      <c r="A962" s="120"/>
      <c r="B962" s="143"/>
      <c r="C962" s="120"/>
      <c r="D962" s="144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 ht="13.5" customHeight="1">
      <c r="A963" s="120"/>
      <c r="B963" s="143"/>
      <c r="C963" s="120"/>
      <c r="D963" s="144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 ht="13.5" customHeight="1">
      <c r="A964" s="120"/>
      <c r="B964" s="143"/>
      <c r="C964" s="120"/>
      <c r="D964" s="144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 ht="13.5" customHeight="1">
      <c r="A965" s="120"/>
      <c r="B965" s="143"/>
      <c r="C965" s="120"/>
      <c r="D965" s="144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 ht="13.5" customHeight="1">
      <c r="A966" s="120"/>
      <c r="B966" s="143"/>
      <c r="C966" s="120"/>
      <c r="D966" s="144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 ht="13.5" customHeight="1">
      <c r="A967" s="120"/>
      <c r="B967" s="143"/>
      <c r="C967" s="120"/>
      <c r="D967" s="144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 ht="13.5" customHeight="1">
      <c r="A968" s="120"/>
      <c r="B968" s="143"/>
      <c r="C968" s="120"/>
      <c r="D968" s="144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 ht="13.5" customHeight="1">
      <c r="A969" s="120"/>
      <c r="B969" s="143"/>
      <c r="C969" s="120"/>
      <c r="D969" s="144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 ht="13.5" customHeight="1">
      <c r="A970" s="120"/>
      <c r="B970" s="143"/>
      <c r="C970" s="120"/>
      <c r="D970" s="144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 ht="13.5" customHeight="1">
      <c r="A971" s="120"/>
      <c r="B971" s="143"/>
      <c r="C971" s="120"/>
      <c r="D971" s="144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 ht="13.5" customHeight="1">
      <c r="A972" s="120"/>
      <c r="B972" s="143"/>
      <c r="C972" s="120"/>
      <c r="D972" s="144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 ht="13.5" customHeight="1">
      <c r="A973" s="120"/>
      <c r="B973" s="143"/>
      <c r="C973" s="120"/>
      <c r="D973" s="144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 ht="13.5" customHeight="1">
      <c r="A974" s="120"/>
      <c r="B974" s="143"/>
      <c r="C974" s="120"/>
      <c r="D974" s="144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 ht="13.5" customHeight="1">
      <c r="A975" s="120"/>
      <c r="B975" s="143"/>
      <c r="C975" s="120"/>
      <c r="D975" s="144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 ht="13.5" customHeight="1">
      <c r="A976" s="120"/>
      <c r="B976" s="143"/>
      <c r="C976" s="120"/>
      <c r="D976" s="144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 ht="13.5" customHeight="1">
      <c r="A977" s="120"/>
      <c r="B977" s="143"/>
      <c r="C977" s="120"/>
      <c r="D977" s="144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 ht="13.5" customHeight="1">
      <c r="A978" s="120"/>
      <c r="B978" s="143"/>
      <c r="C978" s="120"/>
      <c r="D978" s="144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 ht="13.5" customHeight="1">
      <c r="A979" s="120"/>
      <c r="B979" s="143"/>
      <c r="C979" s="120"/>
      <c r="D979" s="144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 ht="13.5" customHeight="1">
      <c r="A980" s="120"/>
      <c r="B980" s="143"/>
      <c r="C980" s="120"/>
      <c r="D980" s="144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 ht="13.5" customHeight="1">
      <c r="A981" s="120"/>
      <c r="B981" s="143"/>
      <c r="C981" s="120"/>
      <c r="D981" s="144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 ht="13.5" customHeight="1">
      <c r="A982" s="120"/>
      <c r="B982" s="143"/>
      <c r="C982" s="120"/>
      <c r="D982" s="144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 ht="13.5" customHeight="1">
      <c r="A983" s="120"/>
      <c r="B983" s="143"/>
      <c r="C983" s="120"/>
      <c r="D983" s="144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 ht="13.5" customHeight="1">
      <c r="A984" s="120"/>
      <c r="B984" s="143"/>
      <c r="C984" s="120"/>
      <c r="D984" s="144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 ht="13.5" customHeight="1">
      <c r="A985" s="120"/>
      <c r="B985" s="143"/>
      <c r="C985" s="120"/>
      <c r="D985" s="144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 ht="13.5" customHeight="1">
      <c r="A986" s="120"/>
      <c r="B986" s="143"/>
      <c r="C986" s="120"/>
      <c r="D986" s="144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 ht="13.5" customHeight="1">
      <c r="A987" s="120"/>
      <c r="B987" s="143"/>
      <c r="C987" s="120"/>
      <c r="D987" s="144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 ht="13.5" customHeight="1">
      <c r="A988" s="120"/>
      <c r="B988" s="143"/>
      <c r="C988" s="120"/>
      <c r="D988" s="144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 ht="13.5" customHeight="1">
      <c r="A989" s="120"/>
      <c r="B989" s="143"/>
      <c r="C989" s="120"/>
      <c r="D989" s="144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 ht="13.5" customHeight="1">
      <c r="A990" s="120"/>
      <c r="B990" s="143"/>
      <c r="C990" s="120"/>
      <c r="D990" s="144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 ht="13.5" customHeight="1">
      <c r="A991" s="120"/>
      <c r="B991" s="143"/>
      <c r="C991" s="120"/>
      <c r="D991" s="144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  <row r="992" ht="13.5" customHeight="1">
      <c r="A992" s="120"/>
      <c r="B992" s="143"/>
      <c r="C992" s="120"/>
      <c r="D992" s="144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</row>
    <row r="993" ht="13.5" customHeight="1">
      <c r="A993" s="120"/>
      <c r="B993" s="143"/>
      <c r="C993" s="120"/>
      <c r="D993" s="144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</row>
    <row r="994" ht="13.5" customHeight="1">
      <c r="A994" s="120"/>
      <c r="B994" s="143"/>
      <c r="C994" s="120"/>
      <c r="D994" s="144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</row>
    <row r="995" ht="13.5" customHeight="1">
      <c r="A995" s="120"/>
      <c r="B995" s="143"/>
      <c r="C995" s="120"/>
      <c r="D995" s="144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</row>
    <row r="996" ht="13.5" customHeight="1">
      <c r="A996" s="120"/>
      <c r="B996" s="143"/>
      <c r="C996" s="120"/>
      <c r="D996" s="144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</row>
    <row r="997" ht="13.5" customHeight="1">
      <c r="A997" s="120"/>
      <c r="B997" s="143"/>
      <c r="C997" s="120"/>
      <c r="D997" s="144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</row>
    <row r="998" ht="13.5" customHeight="1">
      <c r="A998" s="120"/>
      <c r="B998" s="143"/>
      <c r="C998" s="120"/>
      <c r="D998" s="144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</row>
    <row r="999" ht="13.5" customHeight="1">
      <c r="A999" s="120"/>
      <c r="B999" s="143"/>
      <c r="C999" s="120"/>
      <c r="D999" s="144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</row>
    <row r="1000" ht="13.5" customHeight="1">
      <c r="A1000" s="120"/>
      <c r="B1000" s="143"/>
      <c r="C1000" s="120"/>
      <c r="D1000" s="144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</row>
    <row r="1001" ht="13.5" customHeight="1">
      <c r="A1001" s="120"/>
      <c r="B1001" s="143"/>
      <c r="C1001" s="120"/>
      <c r="D1001" s="144"/>
      <c r="E1001" s="120"/>
      <c r="F1001" s="120"/>
      <c r="G1001" s="120"/>
      <c r="H1001" s="120"/>
      <c r="I1001" s="120"/>
      <c r="J1001" s="120"/>
      <c r="K1001" s="120"/>
      <c r="L1001" s="120"/>
      <c r="M1001" s="120"/>
      <c r="N1001" s="120"/>
      <c r="O1001" s="120"/>
      <c r="P1001" s="120"/>
      <c r="Q1001" s="120"/>
      <c r="R1001" s="120"/>
      <c r="S1001" s="120"/>
      <c r="T1001" s="120"/>
      <c r="U1001" s="120"/>
      <c r="V1001" s="120"/>
      <c r="W1001" s="120"/>
      <c r="X1001" s="120"/>
      <c r="Y1001" s="120"/>
      <c r="Z1001" s="120"/>
    </row>
    <row r="1002" ht="13.5" customHeight="1">
      <c r="A1002" s="120"/>
      <c r="B1002" s="143"/>
      <c r="C1002" s="120"/>
      <c r="D1002" s="144"/>
      <c r="E1002" s="120"/>
      <c r="F1002" s="120"/>
      <c r="G1002" s="120"/>
      <c r="H1002" s="120"/>
      <c r="I1002" s="120"/>
      <c r="J1002" s="120"/>
      <c r="K1002" s="120"/>
      <c r="L1002" s="120"/>
      <c r="M1002" s="120"/>
      <c r="N1002" s="120"/>
      <c r="O1002" s="120"/>
      <c r="P1002" s="120"/>
      <c r="Q1002" s="120"/>
      <c r="R1002" s="120"/>
      <c r="S1002" s="120"/>
      <c r="T1002" s="120"/>
      <c r="U1002" s="120"/>
      <c r="V1002" s="120"/>
      <c r="W1002" s="120"/>
      <c r="X1002" s="120"/>
      <c r="Y1002" s="120"/>
      <c r="Z1002" s="120"/>
    </row>
    <row r="1003" ht="13.5" customHeight="1">
      <c r="A1003" s="120"/>
      <c r="B1003" s="143"/>
      <c r="C1003" s="120"/>
      <c r="D1003" s="144"/>
      <c r="E1003" s="120"/>
      <c r="F1003" s="120"/>
      <c r="G1003" s="120"/>
      <c r="H1003" s="120"/>
      <c r="I1003" s="120"/>
      <c r="J1003" s="120"/>
      <c r="K1003" s="120"/>
      <c r="L1003" s="120"/>
      <c r="M1003" s="120"/>
      <c r="N1003" s="120"/>
      <c r="O1003" s="120"/>
      <c r="P1003" s="120"/>
      <c r="Q1003" s="120"/>
      <c r="R1003" s="120"/>
      <c r="S1003" s="120"/>
      <c r="T1003" s="120"/>
      <c r="U1003" s="120"/>
      <c r="V1003" s="120"/>
      <c r="W1003" s="120"/>
      <c r="X1003" s="120"/>
      <c r="Y1003" s="120"/>
      <c r="Z1003" s="120"/>
    </row>
    <row r="1004" ht="13.5" customHeight="1">
      <c r="A1004" s="120"/>
      <c r="B1004" s="143"/>
      <c r="C1004" s="120"/>
      <c r="D1004" s="144"/>
      <c r="E1004" s="120"/>
      <c r="F1004" s="120"/>
      <c r="G1004" s="120"/>
      <c r="H1004" s="120"/>
      <c r="I1004" s="120"/>
      <c r="J1004" s="120"/>
      <c r="K1004" s="120"/>
      <c r="L1004" s="120"/>
      <c r="M1004" s="120"/>
      <c r="N1004" s="120"/>
      <c r="O1004" s="120"/>
      <c r="P1004" s="120"/>
      <c r="Q1004" s="120"/>
      <c r="R1004" s="120"/>
      <c r="S1004" s="120"/>
      <c r="T1004" s="120"/>
      <c r="U1004" s="120"/>
      <c r="V1004" s="120"/>
      <c r="W1004" s="120"/>
      <c r="X1004" s="120"/>
      <c r="Y1004" s="120"/>
      <c r="Z1004" s="120"/>
    </row>
    <row r="1005" ht="13.5" customHeight="1">
      <c r="A1005" s="120"/>
      <c r="B1005" s="143"/>
      <c r="C1005" s="120"/>
      <c r="D1005" s="144"/>
      <c r="E1005" s="120"/>
      <c r="F1005" s="120"/>
      <c r="G1005" s="120"/>
      <c r="H1005" s="120"/>
      <c r="I1005" s="120"/>
      <c r="J1005" s="120"/>
      <c r="K1005" s="120"/>
      <c r="L1005" s="120"/>
      <c r="M1005" s="120"/>
      <c r="N1005" s="120"/>
      <c r="O1005" s="120"/>
      <c r="P1005" s="120"/>
      <c r="Q1005" s="120"/>
      <c r="R1005" s="120"/>
      <c r="S1005" s="120"/>
      <c r="T1005" s="120"/>
      <c r="U1005" s="120"/>
      <c r="V1005" s="120"/>
      <c r="W1005" s="120"/>
      <c r="X1005" s="120"/>
      <c r="Y1005" s="120"/>
      <c r="Z1005" s="120"/>
    </row>
    <row r="1006" ht="13.5" customHeight="1">
      <c r="A1006" s="120"/>
      <c r="B1006" s="143"/>
      <c r="C1006" s="120"/>
      <c r="D1006" s="144"/>
      <c r="E1006" s="120"/>
      <c r="F1006" s="120"/>
      <c r="G1006" s="120"/>
      <c r="H1006" s="120"/>
      <c r="I1006" s="120"/>
      <c r="J1006" s="120"/>
      <c r="K1006" s="120"/>
      <c r="L1006" s="120"/>
      <c r="M1006" s="120"/>
      <c r="N1006" s="120"/>
      <c r="O1006" s="120"/>
      <c r="P1006" s="120"/>
      <c r="Q1006" s="120"/>
      <c r="R1006" s="120"/>
      <c r="S1006" s="120"/>
      <c r="T1006" s="120"/>
      <c r="U1006" s="120"/>
      <c r="V1006" s="120"/>
      <c r="W1006" s="120"/>
      <c r="X1006" s="120"/>
      <c r="Y1006" s="120"/>
      <c r="Z1006" s="120"/>
    </row>
    <row r="1007" ht="13.5" customHeight="1">
      <c r="A1007" s="120"/>
      <c r="B1007" s="143"/>
      <c r="C1007" s="120"/>
      <c r="D1007" s="144"/>
      <c r="E1007" s="120"/>
      <c r="F1007" s="120"/>
      <c r="G1007" s="120"/>
      <c r="H1007" s="120"/>
      <c r="I1007" s="120"/>
      <c r="J1007" s="120"/>
      <c r="K1007" s="120"/>
      <c r="L1007" s="120"/>
      <c r="M1007" s="120"/>
      <c r="N1007" s="120"/>
      <c r="O1007" s="120"/>
      <c r="P1007" s="120"/>
      <c r="Q1007" s="120"/>
      <c r="R1007" s="120"/>
      <c r="S1007" s="120"/>
      <c r="T1007" s="120"/>
      <c r="U1007" s="120"/>
      <c r="V1007" s="120"/>
      <c r="W1007" s="120"/>
      <c r="X1007" s="120"/>
      <c r="Y1007" s="120"/>
      <c r="Z1007" s="120"/>
    </row>
    <row r="1008" ht="13.5" customHeight="1">
      <c r="A1008" s="120"/>
      <c r="B1008" s="143"/>
      <c r="C1008" s="120"/>
      <c r="D1008" s="144"/>
      <c r="E1008" s="120"/>
      <c r="F1008" s="120"/>
      <c r="G1008" s="120"/>
      <c r="H1008" s="120"/>
      <c r="I1008" s="120"/>
      <c r="J1008" s="120"/>
      <c r="K1008" s="120"/>
      <c r="L1008" s="120"/>
      <c r="M1008" s="120"/>
      <c r="N1008" s="120"/>
      <c r="O1008" s="120"/>
      <c r="P1008" s="120"/>
      <c r="Q1008" s="120"/>
      <c r="R1008" s="120"/>
      <c r="S1008" s="120"/>
      <c r="T1008" s="120"/>
      <c r="U1008" s="120"/>
      <c r="V1008" s="120"/>
      <c r="W1008" s="120"/>
      <c r="X1008" s="120"/>
      <c r="Y1008" s="120"/>
      <c r="Z1008" s="120"/>
    </row>
    <row r="1009" ht="13.5" customHeight="1">
      <c r="A1009" s="120"/>
      <c r="B1009" s="143"/>
      <c r="C1009" s="120"/>
      <c r="D1009" s="144"/>
      <c r="E1009" s="120"/>
      <c r="F1009" s="120"/>
      <c r="G1009" s="120"/>
      <c r="H1009" s="120"/>
      <c r="I1009" s="120"/>
      <c r="J1009" s="120"/>
      <c r="K1009" s="120"/>
      <c r="L1009" s="120"/>
      <c r="M1009" s="120"/>
      <c r="N1009" s="120"/>
      <c r="O1009" s="120"/>
      <c r="P1009" s="120"/>
      <c r="Q1009" s="120"/>
      <c r="R1009" s="120"/>
      <c r="S1009" s="120"/>
      <c r="T1009" s="120"/>
      <c r="U1009" s="120"/>
      <c r="V1009" s="120"/>
      <c r="W1009" s="120"/>
      <c r="X1009" s="120"/>
      <c r="Y1009" s="120"/>
      <c r="Z1009" s="120"/>
    </row>
    <row r="1010" ht="13.5" customHeight="1">
      <c r="A1010" s="120"/>
      <c r="B1010" s="143"/>
      <c r="C1010" s="120"/>
      <c r="D1010" s="144"/>
      <c r="E1010" s="120"/>
      <c r="F1010" s="120"/>
      <c r="G1010" s="120"/>
      <c r="H1010" s="120"/>
      <c r="I1010" s="120"/>
      <c r="J1010" s="120"/>
      <c r="K1010" s="120"/>
      <c r="L1010" s="120"/>
      <c r="M1010" s="120"/>
      <c r="N1010" s="120"/>
      <c r="O1010" s="120"/>
      <c r="P1010" s="120"/>
      <c r="Q1010" s="120"/>
      <c r="R1010" s="120"/>
      <c r="S1010" s="120"/>
      <c r="T1010" s="120"/>
      <c r="U1010" s="120"/>
      <c r="V1010" s="120"/>
      <c r="W1010" s="120"/>
      <c r="X1010" s="120"/>
      <c r="Y1010" s="120"/>
      <c r="Z1010" s="120"/>
    </row>
    <row r="1011" ht="13.5" customHeight="1">
      <c r="A1011" s="120"/>
      <c r="B1011" s="143"/>
      <c r="C1011" s="120"/>
      <c r="D1011" s="144"/>
      <c r="E1011" s="120"/>
      <c r="F1011" s="120"/>
      <c r="G1011" s="120"/>
      <c r="H1011" s="120"/>
      <c r="I1011" s="120"/>
      <c r="J1011" s="120"/>
      <c r="K1011" s="120"/>
      <c r="L1011" s="120"/>
      <c r="M1011" s="120"/>
      <c r="N1011" s="120"/>
      <c r="O1011" s="120"/>
      <c r="P1011" s="120"/>
      <c r="Q1011" s="120"/>
      <c r="R1011" s="120"/>
      <c r="S1011" s="120"/>
      <c r="T1011" s="120"/>
      <c r="U1011" s="120"/>
      <c r="V1011" s="120"/>
      <c r="W1011" s="120"/>
      <c r="X1011" s="120"/>
      <c r="Y1011" s="120"/>
      <c r="Z1011" s="120"/>
    </row>
    <row r="1012" ht="13.5" customHeight="1">
      <c r="A1012" s="120"/>
      <c r="B1012" s="143"/>
      <c r="C1012" s="120"/>
      <c r="D1012" s="144"/>
      <c r="E1012" s="120"/>
      <c r="F1012" s="120"/>
      <c r="G1012" s="120"/>
      <c r="H1012" s="120"/>
      <c r="I1012" s="120"/>
      <c r="J1012" s="120"/>
      <c r="K1012" s="120"/>
      <c r="L1012" s="120"/>
      <c r="M1012" s="120"/>
      <c r="N1012" s="120"/>
      <c r="O1012" s="120"/>
      <c r="P1012" s="120"/>
      <c r="Q1012" s="120"/>
      <c r="R1012" s="120"/>
      <c r="S1012" s="120"/>
      <c r="T1012" s="120"/>
      <c r="U1012" s="120"/>
      <c r="V1012" s="120"/>
      <c r="W1012" s="120"/>
      <c r="X1012" s="120"/>
      <c r="Y1012" s="120"/>
      <c r="Z1012" s="120"/>
    </row>
    <row r="1013" ht="13.5" customHeight="1">
      <c r="A1013" s="120"/>
      <c r="B1013" s="143"/>
      <c r="C1013" s="120"/>
      <c r="D1013" s="144"/>
      <c r="E1013" s="120"/>
      <c r="F1013" s="120"/>
      <c r="G1013" s="120"/>
      <c r="H1013" s="120"/>
      <c r="I1013" s="120"/>
      <c r="J1013" s="120"/>
      <c r="K1013" s="120"/>
      <c r="L1013" s="120"/>
      <c r="M1013" s="120"/>
      <c r="N1013" s="120"/>
      <c r="O1013" s="120"/>
      <c r="P1013" s="120"/>
      <c r="Q1013" s="120"/>
      <c r="R1013" s="120"/>
      <c r="S1013" s="120"/>
      <c r="T1013" s="120"/>
      <c r="U1013" s="120"/>
      <c r="V1013" s="120"/>
      <c r="W1013" s="120"/>
      <c r="X1013" s="120"/>
      <c r="Y1013" s="120"/>
      <c r="Z1013" s="120"/>
    </row>
    <row r="1014" ht="13.5" customHeight="1">
      <c r="A1014" s="120"/>
      <c r="B1014" s="143"/>
      <c r="C1014" s="120"/>
      <c r="D1014" s="144"/>
      <c r="E1014" s="120"/>
      <c r="F1014" s="120"/>
      <c r="G1014" s="120"/>
      <c r="H1014" s="120"/>
      <c r="I1014" s="120"/>
      <c r="J1014" s="120"/>
      <c r="K1014" s="120"/>
      <c r="L1014" s="120"/>
      <c r="M1014" s="120"/>
      <c r="N1014" s="120"/>
      <c r="O1014" s="120"/>
      <c r="P1014" s="120"/>
      <c r="Q1014" s="120"/>
      <c r="R1014" s="120"/>
      <c r="S1014" s="120"/>
      <c r="T1014" s="120"/>
      <c r="U1014" s="120"/>
      <c r="V1014" s="120"/>
      <c r="W1014" s="120"/>
      <c r="X1014" s="120"/>
      <c r="Y1014" s="120"/>
      <c r="Z1014" s="120"/>
    </row>
    <row r="1015" ht="13.5" customHeight="1">
      <c r="A1015" s="120"/>
      <c r="B1015" s="143"/>
      <c r="C1015" s="120"/>
      <c r="D1015" s="144"/>
      <c r="E1015" s="120"/>
      <c r="F1015" s="120"/>
      <c r="G1015" s="120"/>
      <c r="H1015" s="120"/>
      <c r="I1015" s="120"/>
      <c r="J1015" s="120"/>
      <c r="K1015" s="120"/>
      <c r="L1015" s="120"/>
      <c r="M1015" s="120"/>
      <c r="N1015" s="120"/>
      <c r="O1015" s="120"/>
      <c r="P1015" s="120"/>
      <c r="Q1015" s="120"/>
      <c r="R1015" s="120"/>
      <c r="S1015" s="120"/>
      <c r="T1015" s="120"/>
      <c r="U1015" s="120"/>
      <c r="V1015" s="120"/>
      <c r="W1015" s="120"/>
      <c r="X1015" s="120"/>
      <c r="Y1015" s="120"/>
      <c r="Z1015" s="120"/>
    </row>
    <row r="1016" ht="13.5" customHeight="1">
      <c r="A1016" s="120"/>
      <c r="B1016" s="143"/>
      <c r="C1016" s="120"/>
      <c r="D1016" s="144"/>
      <c r="E1016" s="120"/>
      <c r="F1016" s="120"/>
      <c r="G1016" s="120"/>
      <c r="H1016" s="120"/>
      <c r="I1016" s="120"/>
      <c r="J1016" s="120"/>
      <c r="K1016" s="120"/>
      <c r="L1016" s="120"/>
      <c r="M1016" s="120"/>
      <c r="N1016" s="120"/>
      <c r="O1016" s="120"/>
      <c r="P1016" s="120"/>
      <c r="Q1016" s="120"/>
      <c r="R1016" s="120"/>
      <c r="S1016" s="120"/>
      <c r="T1016" s="120"/>
      <c r="U1016" s="120"/>
      <c r="V1016" s="120"/>
      <c r="W1016" s="120"/>
      <c r="X1016" s="120"/>
      <c r="Y1016" s="120"/>
      <c r="Z1016" s="120"/>
    </row>
    <row r="1017" ht="13.5" customHeight="1">
      <c r="A1017" s="120"/>
      <c r="B1017" s="143"/>
      <c r="C1017" s="120"/>
      <c r="D1017" s="144"/>
      <c r="E1017" s="120"/>
      <c r="F1017" s="120"/>
      <c r="G1017" s="120"/>
      <c r="H1017" s="120"/>
      <c r="I1017" s="120"/>
      <c r="J1017" s="120"/>
      <c r="K1017" s="120"/>
      <c r="L1017" s="120"/>
      <c r="M1017" s="120"/>
      <c r="N1017" s="120"/>
      <c r="O1017" s="120"/>
      <c r="P1017" s="120"/>
      <c r="Q1017" s="120"/>
      <c r="R1017" s="120"/>
      <c r="S1017" s="120"/>
      <c r="T1017" s="120"/>
      <c r="U1017" s="120"/>
      <c r="V1017" s="120"/>
      <c r="W1017" s="120"/>
      <c r="X1017" s="120"/>
      <c r="Y1017" s="120"/>
      <c r="Z1017" s="120"/>
    </row>
    <row r="1018" ht="13.5" customHeight="1">
      <c r="A1018" s="120"/>
      <c r="B1018" s="143"/>
      <c r="C1018" s="120"/>
      <c r="D1018" s="144"/>
      <c r="E1018" s="120"/>
      <c r="F1018" s="120"/>
      <c r="G1018" s="120"/>
      <c r="H1018" s="120"/>
      <c r="I1018" s="120"/>
      <c r="J1018" s="120"/>
      <c r="K1018" s="120"/>
      <c r="L1018" s="120"/>
      <c r="M1018" s="120"/>
      <c r="N1018" s="120"/>
      <c r="O1018" s="120"/>
      <c r="P1018" s="120"/>
      <c r="Q1018" s="120"/>
      <c r="R1018" s="120"/>
      <c r="S1018" s="120"/>
      <c r="T1018" s="120"/>
      <c r="U1018" s="120"/>
      <c r="V1018" s="120"/>
      <c r="W1018" s="120"/>
      <c r="X1018" s="120"/>
      <c r="Y1018" s="120"/>
      <c r="Z1018" s="120"/>
    </row>
    <row r="1019" ht="13.5" customHeight="1">
      <c r="A1019" s="120"/>
      <c r="B1019" s="143"/>
      <c r="C1019" s="120"/>
      <c r="D1019" s="144"/>
      <c r="E1019" s="120"/>
      <c r="F1019" s="120"/>
      <c r="G1019" s="120"/>
      <c r="H1019" s="120"/>
      <c r="I1019" s="120"/>
      <c r="J1019" s="120"/>
      <c r="K1019" s="120"/>
      <c r="L1019" s="120"/>
      <c r="M1019" s="120"/>
      <c r="N1019" s="120"/>
      <c r="O1019" s="120"/>
      <c r="P1019" s="120"/>
      <c r="Q1019" s="120"/>
      <c r="R1019" s="120"/>
      <c r="S1019" s="120"/>
      <c r="T1019" s="120"/>
      <c r="U1019" s="120"/>
      <c r="V1019" s="120"/>
      <c r="W1019" s="120"/>
      <c r="X1019" s="120"/>
      <c r="Y1019" s="120"/>
      <c r="Z1019" s="120"/>
    </row>
    <row r="1020" ht="13.5" customHeight="1">
      <c r="A1020" s="120"/>
      <c r="B1020" s="143"/>
      <c r="C1020" s="120"/>
      <c r="D1020" s="144"/>
      <c r="E1020" s="120"/>
      <c r="F1020" s="120"/>
      <c r="G1020" s="120"/>
      <c r="H1020" s="120"/>
      <c r="I1020" s="120"/>
      <c r="J1020" s="120"/>
      <c r="K1020" s="120"/>
      <c r="L1020" s="120"/>
      <c r="M1020" s="120"/>
      <c r="N1020" s="120"/>
      <c r="O1020" s="120"/>
      <c r="P1020" s="120"/>
      <c r="Q1020" s="120"/>
      <c r="R1020" s="120"/>
      <c r="S1020" s="120"/>
      <c r="T1020" s="120"/>
      <c r="U1020" s="120"/>
      <c r="V1020" s="120"/>
      <c r="W1020" s="120"/>
      <c r="X1020" s="120"/>
      <c r="Y1020" s="120"/>
      <c r="Z1020" s="120"/>
    </row>
  </sheetData>
  <mergeCells count="26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57:D57"/>
    <mergeCell ref="B58:D58"/>
    <mergeCell ref="B59:D59"/>
    <mergeCell ref="B60:D60"/>
    <mergeCell ref="A5:B5"/>
    <mergeCell ref="C5:E5"/>
    <mergeCell ref="F5:K5"/>
    <mergeCell ref="O5:T5"/>
    <mergeCell ref="C22:D22"/>
    <mergeCell ref="B55:D55"/>
    <mergeCell ref="B56:D56"/>
  </mergeCells>
  <dataValidations>
    <dataValidation type="list" allowBlank="1" showInputMessage="1" showErrorMessage="1" prompt=" - " sqref="F56:M56">
      <formula1>"P,F"</formula1>
    </dataValidation>
    <dataValidation type="list" allowBlank="1" showInputMessage="1" showErrorMessage="1" prompt=" - " sqref="N8:T11 F12:H12 K12:T12 N13:T56">
      <formula1>"O"</formula1>
    </dataValidation>
    <dataValidation type="list" allowBlank="1" showInputMessage="1" showErrorMessage="1" prompt=" - " sqref="F57:T57">
      <formula1>"N,A,B"</formula1>
    </dataValidation>
    <dataValidation type="list" allowBlank="1" showInputMessage="1" showErrorMessage="1" prompt=" - " sqref="F8:M11 I12:J12 F13:M54">
      <formula1>"O"</formula1>
    </dataValidation>
    <dataValidation type="list" allowBlank="1" showInputMessage="1" showErrorMessage="1" prompt=" - " sqref="F55:M55">
      <formula1>"N,A,B"</formula1>
    </dataValidation>
    <dataValidation type="list" allowBlank="1" showInputMessage="1" showErrorMessage="1" prompt=" - " sqref="F58:T58">
      <formula1>"P,F"</formula1>
    </dataValidation>
  </dataValidations>
  <hyperlinks>
    <hyperlink r:id="rId2" ref="B15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6" width="2.75"/>
    <col customWidth="1" min="7" max="7" width="3.88"/>
    <col customWidth="1" min="8" max="21" width="2.75"/>
    <col customWidth="1" min="22" max="23" width="9.0"/>
    <col customWidth="1" min="24" max="26" width="8.0"/>
  </cols>
  <sheetData>
    <row r="1" ht="15.0" customHeight="1">
      <c r="A1" s="110" t="s">
        <v>94</v>
      </c>
      <c r="B1" s="111"/>
      <c r="C1" s="112" t="s">
        <v>73</v>
      </c>
      <c r="D1" s="113"/>
      <c r="E1" s="114"/>
      <c r="F1" s="115" t="s">
        <v>95</v>
      </c>
      <c r="G1" s="116"/>
      <c r="H1" s="116"/>
      <c r="I1" s="116"/>
      <c r="J1" s="116"/>
      <c r="K1" s="117"/>
      <c r="L1" s="118" t="s">
        <v>74</v>
      </c>
      <c r="M1" s="113"/>
      <c r="N1" s="113"/>
      <c r="O1" s="113"/>
      <c r="P1" s="113"/>
      <c r="Q1" s="113"/>
      <c r="R1" s="113"/>
      <c r="S1" s="113"/>
      <c r="T1" s="119"/>
      <c r="U1" s="120"/>
      <c r="V1" s="120"/>
      <c r="W1" s="120"/>
      <c r="X1" s="120"/>
      <c r="Y1" s="120"/>
      <c r="Z1" s="120"/>
    </row>
    <row r="2" ht="13.5" customHeight="1">
      <c r="A2" s="221" t="s">
        <v>96</v>
      </c>
      <c r="B2" s="125"/>
      <c r="C2" s="123" t="s">
        <v>97</v>
      </c>
      <c r="D2" s="124"/>
      <c r="E2" s="125"/>
      <c r="F2" s="222" t="s">
        <v>98</v>
      </c>
      <c r="G2" s="124"/>
      <c r="H2" s="124"/>
      <c r="I2" s="124"/>
      <c r="J2" s="124"/>
      <c r="K2" s="125"/>
      <c r="L2" s="127"/>
      <c r="M2" s="124"/>
      <c r="N2" s="128"/>
      <c r="O2" s="129"/>
      <c r="P2" s="129"/>
      <c r="Q2" s="129"/>
      <c r="R2" s="129"/>
      <c r="S2" s="129"/>
      <c r="T2" s="130"/>
      <c r="U2" s="120"/>
      <c r="V2" s="120"/>
      <c r="W2" s="120"/>
      <c r="X2" s="120"/>
      <c r="Y2" s="120"/>
      <c r="Z2" s="120"/>
    </row>
    <row r="3" ht="13.5" customHeight="1">
      <c r="A3" s="122" t="s">
        <v>99</v>
      </c>
      <c r="B3" s="17"/>
      <c r="C3" s="131" t="s">
        <v>100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32"/>
      <c r="U3" s="120"/>
      <c r="V3" s="120"/>
      <c r="W3" s="120"/>
      <c r="X3" s="120"/>
      <c r="Y3" s="120"/>
      <c r="Z3" s="120"/>
    </row>
    <row r="4" ht="13.5" customHeight="1">
      <c r="A4" s="133" t="s">
        <v>80</v>
      </c>
      <c r="B4" s="17"/>
      <c r="C4" s="134" t="s">
        <v>81</v>
      </c>
      <c r="D4" s="16"/>
      <c r="E4" s="17"/>
      <c r="F4" s="134" t="s">
        <v>82</v>
      </c>
      <c r="G4" s="16"/>
      <c r="H4" s="16"/>
      <c r="I4" s="16"/>
      <c r="J4" s="16"/>
      <c r="K4" s="17"/>
      <c r="L4" s="135" t="s">
        <v>101</v>
      </c>
      <c r="M4" s="16"/>
      <c r="N4" s="55"/>
      <c r="O4" s="134" t="s">
        <v>86</v>
      </c>
      <c r="P4" s="16"/>
      <c r="Q4" s="16"/>
      <c r="R4" s="16"/>
      <c r="S4" s="16"/>
      <c r="T4" s="132"/>
      <c r="U4" s="120"/>
      <c r="V4" s="121"/>
      <c r="W4" s="120"/>
      <c r="X4" s="120"/>
      <c r="Y4" s="120"/>
      <c r="Z4" s="120"/>
    </row>
    <row r="5" ht="13.5" customHeight="1">
      <c r="A5" s="136">
        <f>COUNTIF(F38:HQ38,"P")</f>
        <v>12</v>
      </c>
      <c r="B5" s="137"/>
      <c r="C5" s="138">
        <f>COUNTIF(F38:HQ38,"F")</f>
        <v>3</v>
      </c>
      <c r="D5" s="139"/>
      <c r="E5" s="137"/>
      <c r="F5" s="138">
        <f>SUM(O5,-A5,-C5)</f>
        <v>0</v>
      </c>
      <c r="G5" s="139"/>
      <c r="H5" s="139"/>
      <c r="I5" s="139"/>
      <c r="J5" s="139"/>
      <c r="K5" s="137"/>
      <c r="L5" s="140">
        <f>COUNTIF(E37:HQ37,"N")</f>
        <v>12</v>
      </c>
      <c r="M5" s="140">
        <f>COUNTIF(E37:HQ37,"A")</f>
        <v>2</v>
      </c>
      <c r="N5" s="140">
        <f>COUNTIF(E37:HQ37,"B")</f>
        <v>1</v>
      </c>
      <c r="O5" s="138">
        <f>COUNTA(E7:HT7)</f>
        <v>15</v>
      </c>
      <c r="P5" s="139"/>
      <c r="Q5" s="139"/>
      <c r="R5" s="139"/>
      <c r="S5" s="139"/>
      <c r="T5" s="141"/>
      <c r="U5" s="142"/>
      <c r="V5" s="120"/>
      <c r="W5" s="120"/>
      <c r="X5" s="120"/>
      <c r="Y5" s="120"/>
      <c r="Z5" s="120"/>
    </row>
    <row r="6" ht="9.75" customHeight="1">
      <c r="A6" s="120"/>
      <c r="B6" s="143"/>
      <c r="C6" s="120"/>
      <c r="D6" s="144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40.5" customHeight="1">
      <c r="A7" s="223"/>
      <c r="B7" s="224"/>
      <c r="C7" s="225"/>
      <c r="D7" s="226"/>
      <c r="E7" s="225"/>
      <c r="F7" s="227" t="s">
        <v>102</v>
      </c>
      <c r="G7" s="227" t="s">
        <v>103</v>
      </c>
      <c r="H7" s="227" t="s">
        <v>104</v>
      </c>
      <c r="I7" s="227" t="s">
        <v>105</v>
      </c>
      <c r="J7" s="227" t="s">
        <v>106</v>
      </c>
      <c r="K7" s="227" t="s">
        <v>107</v>
      </c>
      <c r="L7" s="227" t="s">
        <v>108</v>
      </c>
      <c r="M7" s="227" t="s">
        <v>109</v>
      </c>
      <c r="N7" s="227" t="s">
        <v>110</v>
      </c>
      <c r="O7" s="227" t="s">
        <v>111</v>
      </c>
      <c r="P7" s="227" t="s">
        <v>112</v>
      </c>
      <c r="Q7" s="227" t="s">
        <v>113</v>
      </c>
      <c r="R7" s="227" t="s">
        <v>114</v>
      </c>
      <c r="S7" s="227" t="s">
        <v>115</v>
      </c>
      <c r="T7" s="228" t="s">
        <v>116</v>
      </c>
      <c r="U7" s="151"/>
      <c r="V7" s="121"/>
      <c r="W7" s="120"/>
      <c r="X7" s="120"/>
      <c r="Y7" s="120"/>
      <c r="Z7" s="120"/>
    </row>
    <row r="8" ht="13.5" customHeight="1">
      <c r="A8" s="229" t="s">
        <v>117</v>
      </c>
      <c r="B8" s="230" t="s">
        <v>169</v>
      </c>
      <c r="C8" s="231"/>
      <c r="D8" s="232"/>
      <c r="E8" s="233"/>
      <c r="F8" s="234"/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5"/>
      <c r="U8" s="120"/>
      <c r="V8" s="120"/>
      <c r="W8" s="120"/>
      <c r="X8" s="120"/>
      <c r="Y8" s="120"/>
      <c r="Z8" s="120"/>
    </row>
    <row r="9" ht="13.5" customHeight="1">
      <c r="A9" s="236"/>
      <c r="B9" s="230"/>
      <c r="C9" s="231"/>
      <c r="D9" s="232" t="s">
        <v>119</v>
      </c>
      <c r="E9" s="237"/>
      <c r="F9" s="234"/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5"/>
      <c r="U9" s="120"/>
      <c r="V9" s="121"/>
      <c r="W9" s="120"/>
      <c r="X9" s="120"/>
      <c r="Y9" s="120"/>
      <c r="Z9" s="120"/>
    </row>
    <row r="10" ht="13.5" customHeight="1">
      <c r="A10" s="236"/>
      <c r="B10" s="230"/>
      <c r="C10" s="231"/>
      <c r="D10" s="232"/>
      <c r="E10" s="237"/>
      <c r="F10" s="234"/>
      <c r="G10" s="238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5"/>
      <c r="U10" s="120"/>
      <c r="V10" s="120"/>
      <c r="W10" s="120"/>
      <c r="X10" s="120"/>
      <c r="Y10" s="120"/>
      <c r="Z10" s="120"/>
    </row>
    <row r="11" ht="13.5" customHeight="1">
      <c r="A11" s="236"/>
      <c r="B11" s="230"/>
      <c r="C11" s="231"/>
      <c r="D11" s="232"/>
      <c r="E11" s="239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5"/>
      <c r="U11" s="120"/>
      <c r="V11" s="121"/>
      <c r="W11" s="120"/>
      <c r="X11" s="120"/>
      <c r="Y11" s="120"/>
      <c r="Z11" s="120"/>
    </row>
    <row r="12" ht="13.5" customHeight="1">
      <c r="A12" s="236"/>
      <c r="B12" s="230" t="s">
        <v>170</v>
      </c>
      <c r="C12" s="231"/>
      <c r="D12" s="232"/>
      <c r="E12" s="240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4"/>
      <c r="R12" s="234"/>
      <c r="S12" s="234"/>
      <c r="T12" s="235"/>
      <c r="U12" s="120"/>
      <c r="V12" s="120"/>
      <c r="W12" s="120"/>
      <c r="X12" s="120"/>
      <c r="Y12" s="120"/>
      <c r="Z12" s="120"/>
    </row>
    <row r="13" ht="13.5" customHeight="1">
      <c r="A13" s="236"/>
      <c r="B13" s="230"/>
      <c r="C13" s="231"/>
      <c r="D13" s="232" t="s">
        <v>171</v>
      </c>
      <c r="E13" s="240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5"/>
      <c r="U13" s="120"/>
      <c r="V13" s="120"/>
      <c r="W13" s="120"/>
      <c r="X13" s="120"/>
      <c r="Y13" s="120"/>
      <c r="Z13" s="120"/>
    </row>
    <row r="14" ht="13.5" customHeight="1">
      <c r="A14" s="236"/>
      <c r="B14" s="230"/>
      <c r="C14" s="231"/>
      <c r="D14" s="232" t="s">
        <v>129</v>
      </c>
      <c r="E14" s="240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5"/>
      <c r="U14" s="120"/>
      <c r="V14" s="120"/>
      <c r="W14" s="120"/>
      <c r="X14" s="120"/>
      <c r="Y14" s="120"/>
      <c r="Z14" s="120"/>
    </row>
    <row r="15" ht="13.5" customHeight="1">
      <c r="A15" s="236"/>
      <c r="B15" s="230"/>
      <c r="C15" s="231"/>
      <c r="D15" s="232" t="s">
        <v>123</v>
      </c>
      <c r="E15" s="240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5"/>
      <c r="U15" s="241"/>
      <c r="V15" s="120"/>
      <c r="W15" s="120"/>
      <c r="X15" s="120"/>
      <c r="Y15" s="120"/>
      <c r="Z15" s="120"/>
    </row>
    <row r="16" ht="13.5" customHeight="1">
      <c r="A16" s="236"/>
      <c r="B16" s="230" t="s">
        <v>172</v>
      </c>
      <c r="C16" s="231"/>
      <c r="D16" s="232"/>
      <c r="E16" s="240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4"/>
      <c r="T16" s="235"/>
      <c r="U16" s="241"/>
      <c r="V16" s="120"/>
      <c r="W16" s="120"/>
      <c r="X16" s="120"/>
      <c r="Y16" s="120"/>
      <c r="Z16" s="120"/>
    </row>
    <row r="17" ht="13.5" customHeight="1">
      <c r="A17" s="236"/>
      <c r="B17" s="230"/>
      <c r="C17" s="231"/>
      <c r="D17" s="144" t="s">
        <v>173</v>
      </c>
      <c r="F17" s="234"/>
      <c r="G17" s="234"/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35"/>
      <c r="U17" s="120"/>
      <c r="V17" s="120"/>
      <c r="W17" s="120"/>
      <c r="X17" s="120"/>
      <c r="Y17" s="120"/>
      <c r="Z17" s="120"/>
    </row>
    <row r="18" ht="13.5" customHeight="1">
      <c r="A18" s="236"/>
      <c r="B18" s="230"/>
      <c r="C18" s="231"/>
      <c r="D18" s="232">
        <v>5.0</v>
      </c>
      <c r="E18" s="240"/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5"/>
      <c r="U18" s="120"/>
      <c r="V18" s="120"/>
      <c r="W18" s="120"/>
      <c r="X18" s="120"/>
      <c r="Y18" s="120"/>
      <c r="Z18" s="120"/>
    </row>
    <row r="19" ht="13.5" customHeight="1">
      <c r="A19" s="236"/>
      <c r="B19" s="230"/>
      <c r="C19" s="231"/>
      <c r="D19" s="232">
        <v>10.0</v>
      </c>
      <c r="E19" s="240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35"/>
      <c r="U19" s="120"/>
      <c r="V19" s="120"/>
      <c r="W19" s="120"/>
      <c r="X19" s="120"/>
      <c r="Y19" s="120"/>
      <c r="Z19" s="120"/>
    </row>
    <row r="20" ht="13.5" customHeight="1">
      <c r="A20" s="236"/>
      <c r="B20" s="230"/>
      <c r="C20" s="231"/>
      <c r="D20" s="232"/>
      <c r="E20" s="240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5"/>
      <c r="U20" s="120"/>
      <c r="V20" s="120"/>
      <c r="W20" s="120"/>
      <c r="X20" s="120"/>
      <c r="Y20" s="120"/>
      <c r="Z20" s="120"/>
    </row>
    <row r="21" ht="13.5" customHeight="1">
      <c r="A21" s="236"/>
      <c r="B21" s="230"/>
      <c r="C21" s="231"/>
      <c r="D21" s="232"/>
      <c r="E21" s="240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34"/>
      <c r="T21" s="235"/>
      <c r="U21" s="120"/>
      <c r="V21" s="120"/>
      <c r="W21" s="120"/>
      <c r="X21" s="120"/>
      <c r="Y21" s="120"/>
      <c r="Z21" s="120"/>
    </row>
    <row r="22" ht="13.5" customHeight="1">
      <c r="A22" s="236"/>
      <c r="B22" s="230"/>
      <c r="C22" s="231"/>
      <c r="D22" s="232"/>
      <c r="E22" s="240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5"/>
      <c r="U22" s="120"/>
      <c r="V22" s="120"/>
      <c r="W22" s="120"/>
      <c r="X22" s="120"/>
      <c r="Y22" s="120"/>
      <c r="Z22" s="120"/>
    </row>
    <row r="23" ht="13.5" customHeight="1">
      <c r="A23" s="236"/>
      <c r="B23" s="230"/>
      <c r="C23" s="231"/>
      <c r="D23" s="232"/>
      <c r="E23" s="240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34"/>
      <c r="T23" s="235"/>
      <c r="U23" s="120"/>
      <c r="V23" s="120"/>
      <c r="W23" s="120"/>
      <c r="X23" s="120"/>
      <c r="Y23" s="120"/>
      <c r="Z23" s="120"/>
    </row>
    <row r="24" ht="13.5" customHeight="1">
      <c r="A24" s="236"/>
      <c r="B24" s="230"/>
      <c r="C24" s="231"/>
      <c r="D24" s="232"/>
      <c r="E24" s="240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5"/>
      <c r="U24" s="120"/>
      <c r="V24" s="120"/>
      <c r="W24" s="120"/>
      <c r="X24" s="120"/>
      <c r="Y24" s="120"/>
      <c r="Z24" s="120"/>
    </row>
    <row r="25" ht="13.5" customHeight="1">
      <c r="A25" s="236"/>
      <c r="B25" s="230"/>
      <c r="C25" s="231"/>
      <c r="D25" s="232"/>
      <c r="E25" s="240"/>
      <c r="F25" s="234"/>
      <c r="G25" s="234"/>
      <c r="H25" s="234"/>
      <c r="I25" s="234"/>
      <c r="J25" s="234"/>
      <c r="K25" s="234"/>
      <c r="L25" s="234"/>
      <c r="M25" s="234"/>
      <c r="N25" s="234"/>
      <c r="O25" s="234"/>
      <c r="P25" s="234"/>
      <c r="Q25" s="234"/>
      <c r="R25" s="234"/>
      <c r="S25" s="234"/>
      <c r="T25" s="235"/>
      <c r="U25" s="120"/>
      <c r="V25" s="120"/>
      <c r="W25" s="120"/>
      <c r="X25" s="120"/>
      <c r="Y25" s="120"/>
      <c r="Z25" s="120"/>
    </row>
    <row r="26" ht="13.5" customHeight="1">
      <c r="A26" s="236"/>
      <c r="B26" s="230"/>
      <c r="C26" s="231"/>
      <c r="D26" s="232"/>
      <c r="E26" s="240"/>
      <c r="F26" s="234"/>
      <c r="G26" s="234"/>
      <c r="H26" s="234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5"/>
      <c r="U26" s="120"/>
      <c r="V26" s="120"/>
      <c r="W26" s="120"/>
      <c r="X26" s="120"/>
      <c r="Y26" s="120"/>
      <c r="Z26" s="120"/>
    </row>
    <row r="27" ht="13.5" customHeight="1">
      <c r="A27" s="236"/>
      <c r="B27" s="230"/>
      <c r="C27" s="231"/>
      <c r="D27" s="232"/>
      <c r="E27" s="240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5"/>
      <c r="U27" s="120"/>
      <c r="V27" s="120"/>
      <c r="W27" s="120"/>
      <c r="X27" s="120"/>
      <c r="Y27" s="120"/>
      <c r="Z27" s="120"/>
    </row>
    <row r="28" ht="13.5" customHeight="1">
      <c r="A28" s="236"/>
      <c r="B28" s="242"/>
      <c r="C28" s="243"/>
      <c r="D28" s="244"/>
      <c r="E28" s="245"/>
      <c r="F28" s="246"/>
      <c r="G28" s="246"/>
      <c r="H28" s="246"/>
      <c r="I28" s="246"/>
      <c r="J28" s="246"/>
      <c r="K28" s="246"/>
      <c r="L28" s="246"/>
      <c r="M28" s="246"/>
      <c r="N28" s="246"/>
      <c r="O28" s="246"/>
      <c r="P28" s="246"/>
      <c r="Q28" s="246"/>
      <c r="R28" s="246"/>
      <c r="S28" s="246"/>
      <c r="T28" s="247"/>
      <c r="U28" s="120"/>
      <c r="V28" s="120"/>
      <c r="W28" s="120"/>
      <c r="X28" s="120"/>
      <c r="Y28" s="120"/>
      <c r="Z28" s="120"/>
    </row>
    <row r="29" ht="13.5" customHeight="1">
      <c r="A29" s="248" t="s">
        <v>146</v>
      </c>
      <c r="B29" s="249" t="s">
        <v>147</v>
      </c>
      <c r="C29" s="250"/>
      <c r="D29" s="251"/>
      <c r="E29" s="252"/>
      <c r="F29" s="253"/>
      <c r="G29" s="253"/>
      <c r="H29" s="253"/>
      <c r="I29" s="253"/>
      <c r="J29" s="253"/>
      <c r="K29" s="253"/>
      <c r="L29" s="253"/>
      <c r="M29" s="253"/>
      <c r="N29" s="253"/>
      <c r="O29" s="253"/>
      <c r="P29" s="253"/>
      <c r="Q29" s="253"/>
      <c r="R29" s="253"/>
      <c r="S29" s="253"/>
      <c r="T29" s="254"/>
      <c r="U29" s="120"/>
      <c r="V29" s="120"/>
      <c r="W29" s="120"/>
      <c r="X29" s="120"/>
      <c r="Y29" s="120"/>
      <c r="Z29" s="120"/>
    </row>
    <row r="30" ht="13.5" customHeight="1">
      <c r="A30" s="210"/>
      <c r="B30" s="255"/>
      <c r="C30" s="256"/>
      <c r="D30" s="257">
        <v>1.0</v>
      </c>
      <c r="E30" s="258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5"/>
      <c r="U30" s="120"/>
      <c r="V30" s="120"/>
      <c r="W30" s="120"/>
      <c r="X30" s="120"/>
      <c r="Y30" s="120"/>
      <c r="Z30" s="120"/>
    </row>
    <row r="31" ht="13.5" customHeight="1">
      <c r="A31" s="210"/>
      <c r="B31" s="255"/>
      <c r="C31" s="259"/>
      <c r="D31" s="257">
        <v>2.0</v>
      </c>
      <c r="E31" s="260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4"/>
      <c r="T31" s="235"/>
      <c r="U31" s="120"/>
      <c r="V31" s="120"/>
      <c r="W31" s="120"/>
      <c r="X31" s="120"/>
      <c r="Y31" s="120"/>
      <c r="Z31" s="120"/>
    </row>
    <row r="32" ht="13.5" customHeight="1">
      <c r="A32" s="210"/>
      <c r="B32" s="255" t="s">
        <v>157</v>
      </c>
      <c r="C32" s="259"/>
      <c r="D32" s="257"/>
      <c r="E32" s="260"/>
      <c r="F32" s="234"/>
      <c r="G32" s="234"/>
      <c r="H32" s="234"/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5"/>
      <c r="U32" s="120"/>
      <c r="V32" s="120"/>
      <c r="W32" s="120"/>
      <c r="X32" s="120"/>
      <c r="Y32" s="120"/>
      <c r="Z32" s="120"/>
    </row>
    <row r="33" ht="13.5" customHeight="1">
      <c r="A33" s="210"/>
      <c r="B33" s="255"/>
      <c r="C33" s="259"/>
      <c r="D33" s="257"/>
      <c r="E33" s="260"/>
      <c r="F33" s="234"/>
      <c r="G33" s="234"/>
      <c r="H33" s="234"/>
      <c r="I33" s="234"/>
      <c r="J33" s="234"/>
      <c r="K33" s="234"/>
      <c r="L33" s="234"/>
      <c r="M33" s="234"/>
      <c r="N33" s="234"/>
      <c r="O33" s="234"/>
      <c r="P33" s="234"/>
      <c r="Q33" s="234"/>
      <c r="R33" s="234"/>
      <c r="S33" s="234"/>
      <c r="T33" s="235"/>
      <c r="U33" s="120"/>
      <c r="V33" s="120"/>
      <c r="W33" s="120"/>
      <c r="X33" s="120"/>
      <c r="Y33" s="120"/>
      <c r="Z33" s="120"/>
    </row>
    <row r="34" ht="13.5" customHeight="1">
      <c r="A34" s="210"/>
      <c r="B34" s="255" t="s">
        <v>159</v>
      </c>
      <c r="C34" s="259"/>
      <c r="D34" s="257"/>
      <c r="E34" s="260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5"/>
      <c r="U34" s="120"/>
      <c r="V34" s="120"/>
      <c r="W34" s="120"/>
      <c r="X34" s="120"/>
      <c r="Y34" s="120"/>
      <c r="Z34" s="120"/>
    </row>
    <row r="35" ht="13.5" customHeight="1">
      <c r="A35" s="210"/>
      <c r="B35" s="255"/>
      <c r="C35" s="259"/>
      <c r="D35" s="257" t="s">
        <v>174</v>
      </c>
      <c r="E35" s="260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35"/>
      <c r="U35" s="120"/>
      <c r="V35" s="120"/>
      <c r="W35" s="120"/>
      <c r="X35" s="120"/>
      <c r="Y35" s="120"/>
      <c r="Z35" s="120"/>
    </row>
    <row r="36" ht="13.5" customHeight="1">
      <c r="A36" s="210"/>
      <c r="B36" s="261"/>
      <c r="C36" s="262"/>
      <c r="D36" s="263" t="s">
        <v>175</v>
      </c>
      <c r="E36" s="264"/>
      <c r="F36" s="265"/>
      <c r="G36" s="265"/>
      <c r="H36" s="265"/>
      <c r="I36" s="265"/>
      <c r="J36" s="265"/>
      <c r="K36" s="265"/>
      <c r="L36" s="265"/>
      <c r="M36" s="265"/>
      <c r="N36" s="265"/>
      <c r="O36" s="265"/>
      <c r="P36" s="265"/>
      <c r="Q36" s="265"/>
      <c r="R36" s="265"/>
      <c r="S36" s="265"/>
      <c r="T36" s="266"/>
      <c r="U36" s="120"/>
      <c r="V36" s="120"/>
      <c r="W36" s="120"/>
      <c r="X36" s="120"/>
      <c r="Y36" s="120"/>
      <c r="Z36" s="120"/>
    </row>
    <row r="37" ht="13.5" customHeight="1">
      <c r="A37" s="248" t="s">
        <v>160</v>
      </c>
      <c r="B37" s="267" t="s">
        <v>161</v>
      </c>
      <c r="C37" s="189"/>
      <c r="D37" s="190"/>
      <c r="E37" s="268"/>
      <c r="F37" s="269" t="s">
        <v>83</v>
      </c>
      <c r="G37" s="269" t="s">
        <v>83</v>
      </c>
      <c r="H37" s="269" t="s">
        <v>83</v>
      </c>
      <c r="I37" s="269" t="s">
        <v>83</v>
      </c>
      <c r="J37" s="269" t="s">
        <v>83</v>
      </c>
      <c r="K37" s="269" t="s">
        <v>85</v>
      </c>
      <c r="L37" s="269" t="s">
        <v>84</v>
      </c>
      <c r="M37" s="269" t="s">
        <v>83</v>
      </c>
      <c r="N37" s="269" t="s">
        <v>83</v>
      </c>
      <c r="O37" s="269" t="s">
        <v>83</v>
      </c>
      <c r="P37" s="269" t="s">
        <v>83</v>
      </c>
      <c r="Q37" s="269" t="s">
        <v>83</v>
      </c>
      <c r="R37" s="269" t="s">
        <v>84</v>
      </c>
      <c r="S37" s="269" t="s">
        <v>83</v>
      </c>
      <c r="T37" s="270" t="s">
        <v>83</v>
      </c>
      <c r="U37" s="120"/>
      <c r="V37" s="120"/>
      <c r="W37" s="120"/>
      <c r="X37" s="120"/>
      <c r="Y37" s="120"/>
      <c r="Z37" s="120"/>
    </row>
    <row r="38" ht="13.5" customHeight="1">
      <c r="A38" s="210"/>
      <c r="B38" s="271" t="s">
        <v>162</v>
      </c>
      <c r="C38" s="16"/>
      <c r="D38" s="17"/>
      <c r="E38" s="272"/>
      <c r="F38" s="273" t="s">
        <v>163</v>
      </c>
      <c r="G38" s="273" t="s">
        <v>163</v>
      </c>
      <c r="H38" s="273" t="s">
        <v>163</v>
      </c>
      <c r="I38" s="273" t="s">
        <v>163</v>
      </c>
      <c r="J38" s="273" t="s">
        <v>163</v>
      </c>
      <c r="K38" s="273" t="s">
        <v>176</v>
      </c>
      <c r="L38" s="273" t="s">
        <v>176</v>
      </c>
      <c r="M38" s="273" t="s">
        <v>163</v>
      </c>
      <c r="N38" s="273" t="s">
        <v>163</v>
      </c>
      <c r="O38" s="273" t="s">
        <v>163</v>
      </c>
      <c r="P38" s="273" t="s">
        <v>163</v>
      </c>
      <c r="Q38" s="273" t="s">
        <v>163</v>
      </c>
      <c r="R38" s="273" t="s">
        <v>176</v>
      </c>
      <c r="S38" s="273" t="s">
        <v>163</v>
      </c>
      <c r="T38" s="274" t="s">
        <v>163</v>
      </c>
      <c r="U38" s="120"/>
      <c r="V38" s="120"/>
      <c r="W38" s="120"/>
      <c r="X38" s="120"/>
      <c r="Y38" s="120"/>
      <c r="Z38" s="120"/>
    </row>
    <row r="39" ht="13.5" customHeight="1">
      <c r="A39" s="210"/>
      <c r="B39" s="211" t="s">
        <v>164</v>
      </c>
      <c r="C39" s="16"/>
      <c r="D39" s="17"/>
      <c r="E39" s="212"/>
      <c r="F39" s="213">
        <v>39139.0</v>
      </c>
      <c r="G39" s="213">
        <v>39139.0</v>
      </c>
      <c r="H39" s="213">
        <v>39140.0</v>
      </c>
      <c r="I39" s="213">
        <v>39141.0</v>
      </c>
      <c r="J39" s="213">
        <v>39142.0</v>
      </c>
      <c r="K39" s="213">
        <v>39143.0</v>
      </c>
      <c r="L39" s="213">
        <v>39144.0</v>
      </c>
      <c r="M39" s="213">
        <v>39145.0</v>
      </c>
      <c r="N39" s="213">
        <v>39146.0</v>
      </c>
      <c r="O39" s="213">
        <v>39147.0</v>
      </c>
      <c r="P39" s="213">
        <v>39148.0</v>
      </c>
      <c r="Q39" s="213">
        <v>39149.0</v>
      </c>
      <c r="R39" s="213">
        <v>39150.0</v>
      </c>
      <c r="S39" s="213">
        <v>39151.0</v>
      </c>
      <c r="T39" s="214">
        <v>39152.0</v>
      </c>
      <c r="U39" s="120"/>
      <c r="V39" s="120"/>
      <c r="W39" s="120"/>
      <c r="X39" s="120"/>
      <c r="Y39" s="120"/>
      <c r="Z39" s="120"/>
    </row>
    <row r="40" ht="69.0" customHeight="1">
      <c r="A40" s="215"/>
      <c r="B40" s="216" t="s">
        <v>166</v>
      </c>
      <c r="C40" s="205"/>
      <c r="D40" s="206"/>
      <c r="E40" s="217"/>
      <c r="F40" s="218"/>
      <c r="G40" s="218"/>
      <c r="H40" s="218"/>
      <c r="I40" s="218"/>
      <c r="J40" s="218"/>
      <c r="K40" s="218" t="s">
        <v>167</v>
      </c>
      <c r="L40" s="218" t="s">
        <v>168</v>
      </c>
      <c r="M40" s="218" t="s">
        <v>177</v>
      </c>
      <c r="N40" s="218" t="s">
        <v>178</v>
      </c>
      <c r="O40" s="218" t="s">
        <v>179</v>
      </c>
      <c r="P40" s="218" t="s">
        <v>180</v>
      </c>
      <c r="Q40" s="218" t="s">
        <v>181</v>
      </c>
      <c r="R40" s="218" t="s">
        <v>182</v>
      </c>
      <c r="S40" s="218" t="s">
        <v>183</v>
      </c>
      <c r="T40" s="219" t="s">
        <v>184</v>
      </c>
      <c r="U40" s="120"/>
      <c r="V40" s="120"/>
      <c r="W40" s="120"/>
      <c r="X40" s="120"/>
      <c r="Y40" s="120"/>
      <c r="Z40" s="120"/>
    </row>
    <row r="41" ht="9.75" customHeight="1">
      <c r="A41" s="143"/>
      <c r="B41" s="120"/>
      <c r="C41" s="144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3.5" customHeight="1">
      <c r="A42" s="120"/>
      <c r="B42" s="143"/>
      <c r="C42" s="120"/>
      <c r="D42" s="144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3.5" customHeight="1">
      <c r="A43" s="120"/>
      <c r="B43" s="143"/>
      <c r="C43" s="120"/>
      <c r="D43" s="144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3.5" customHeight="1">
      <c r="A44" s="120"/>
      <c r="B44" s="143"/>
      <c r="C44" s="120"/>
      <c r="D44" s="144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3.5" customHeight="1">
      <c r="A45" s="120"/>
      <c r="B45" s="143"/>
      <c r="C45" s="120"/>
      <c r="D45" s="144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3.5" customHeight="1">
      <c r="A46" s="120"/>
      <c r="B46" s="143"/>
      <c r="C46" s="120"/>
      <c r="D46" s="144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3.5" customHeight="1">
      <c r="A47" s="120"/>
      <c r="B47" s="143"/>
      <c r="C47" s="120"/>
      <c r="D47" s="144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3.5" customHeight="1">
      <c r="A48" s="120"/>
      <c r="B48" s="143"/>
      <c r="C48" s="120"/>
      <c r="D48" s="144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3.5" customHeight="1">
      <c r="A49" s="120"/>
      <c r="B49" s="143"/>
      <c r="C49" s="120"/>
      <c r="D49" s="144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3.5" customHeight="1">
      <c r="A50" s="120"/>
      <c r="B50" s="143"/>
      <c r="C50" s="120"/>
      <c r="D50" s="144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3.5" customHeight="1">
      <c r="A51" s="120"/>
      <c r="B51" s="143"/>
      <c r="C51" s="120"/>
      <c r="D51" s="144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3.5" customHeight="1">
      <c r="A52" s="120"/>
      <c r="B52" s="143"/>
      <c r="C52" s="120"/>
      <c r="D52" s="144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3.5" customHeight="1">
      <c r="A53" s="120"/>
      <c r="B53" s="143"/>
      <c r="C53" s="120"/>
      <c r="D53" s="144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3.5" customHeight="1">
      <c r="A54" s="120"/>
      <c r="B54" s="143"/>
      <c r="C54" s="120"/>
      <c r="D54" s="144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3.5" customHeight="1">
      <c r="A55" s="120"/>
      <c r="B55" s="143"/>
      <c r="C55" s="120"/>
      <c r="D55" s="144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3.5" customHeight="1">
      <c r="A56" s="120"/>
      <c r="B56" s="143"/>
      <c r="C56" s="120"/>
      <c r="D56" s="144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3.5" customHeight="1">
      <c r="A57" s="120"/>
      <c r="B57" s="143"/>
      <c r="C57" s="120"/>
      <c r="D57" s="144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3.5" customHeight="1">
      <c r="A58" s="120"/>
      <c r="B58" s="143"/>
      <c r="C58" s="120"/>
      <c r="D58" s="144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3.5" customHeight="1">
      <c r="A59" s="120"/>
      <c r="B59" s="143"/>
      <c r="C59" s="120"/>
      <c r="D59" s="144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3.5" customHeight="1">
      <c r="A60" s="120"/>
      <c r="B60" s="143"/>
      <c r="C60" s="120"/>
      <c r="D60" s="144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3.5" customHeight="1">
      <c r="A61" s="120"/>
      <c r="B61" s="143"/>
      <c r="C61" s="120"/>
      <c r="D61" s="144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3.5" customHeight="1">
      <c r="A62" s="120"/>
      <c r="B62" s="143"/>
      <c r="C62" s="120"/>
      <c r="D62" s="144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3.5" customHeight="1">
      <c r="A63" s="120"/>
      <c r="B63" s="143"/>
      <c r="C63" s="120"/>
      <c r="D63" s="144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3.5" customHeight="1">
      <c r="A64" s="120"/>
      <c r="B64" s="143"/>
      <c r="C64" s="120"/>
      <c r="D64" s="144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3.5" customHeight="1">
      <c r="A65" s="120"/>
      <c r="B65" s="143"/>
      <c r="C65" s="120"/>
      <c r="D65" s="144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3.5" customHeight="1">
      <c r="A66" s="120"/>
      <c r="B66" s="143"/>
      <c r="C66" s="120"/>
      <c r="D66" s="144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3.5" customHeight="1">
      <c r="A67" s="120"/>
      <c r="B67" s="143"/>
      <c r="C67" s="120"/>
      <c r="D67" s="144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3.5" customHeight="1">
      <c r="A68" s="120"/>
      <c r="B68" s="143"/>
      <c r="C68" s="120"/>
      <c r="D68" s="144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3.5" customHeight="1">
      <c r="A69" s="120"/>
      <c r="B69" s="143"/>
      <c r="C69" s="120"/>
      <c r="D69" s="144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3.5" customHeight="1">
      <c r="A70" s="120"/>
      <c r="B70" s="143"/>
      <c r="C70" s="120"/>
      <c r="D70" s="144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3.5" customHeight="1">
      <c r="A71" s="120"/>
      <c r="B71" s="143"/>
      <c r="C71" s="120"/>
      <c r="D71" s="144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3.5" customHeight="1">
      <c r="A72" s="120"/>
      <c r="B72" s="143"/>
      <c r="C72" s="120"/>
      <c r="D72" s="144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3.5" customHeight="1">
      <c r="A73" s="120"/>
      <c r="B73" s="143"/>
      <c r="C73" s="120"/>
      <c r="D73" s="144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3.5" customHeight="1">
      <c r="A74" s="120"/>
      <c r="B74" s="143"/>
      <c r="C74" s="120"/>
      <c r="D74" s="144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3.5" customHeight="1">
      <c r="A75" s="120"/>
      <c r="B75" s="143"/>
      <c r="C75" s="120"/>
      <c r="D75" s="144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3.5" customHeight="1">
      <c r="A76" s="120"/>
      <c r="B76" s="143"/>
      <c r="C76" s="120"/>
      <c r="D76" s="144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3.5" customHeight="1">
      <c r="A77" s="120"/>
      <c r="B77" s="143"/>
      <c r="C77" s="120"/>
      <c r="D77" s="144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3.5" customHeight="1">
      <c r="A78" s="120"/>
      <c r="B78" s="143"/>
      <c r="C78" s="120"/>
      <c r="D78" s="144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3.5" customHeight="1">
      <c r="A79" s="120"/>
      <c r="B79" s="143"/>
      <c r="C79" s="120"/>
      <c r="D79" s="144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3.5" customHeight="1">
      <c r="A80" s="120"/>
      <c r="B80" s="143"/>
      <c r="C80" s="120"/>
      <c r="D80" s="14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3.5" customHeight="1">
      <c r="A81" s="120"/>
      <c r="B81" s="143"/>
      <c r="C81" s="120"/>
      <c r="D81" s="144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3.5" customHeight="1">
      <c r="A82" s="120"/>
      <c r="B82" s="143"/>
      <c r="C82" s="120"/>
      <c r="D82" s="144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3.5" customHeight="1">
      <c r="A83" s="120"/>
      <c r="B83" s="143"/>
      <c r="C83" s="120"/>
      <c r="D83" s="144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3.5" customHeight="1">
      <c r="A84" s="120"/>
      <c r="B84" s="143"/>
      <c r="C84" s="120"/>
      <c r="D84" s="144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3.5" customHeight="1">
      <c r="A85" s="120"/>
      <c r="B85" s="143"/>
      <c r="C85" s="120"/>
      <c r="D85" s="144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3.5" customHeight="1">
      <c r="A86" s="120"/>
      <c r="B86" s="143"/>
      <c r="C86" s="120"/>
      <c r="D86" s="144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3.5" customHeight="1">
      <c r="A87" s="120"/>
      <c r="B87" s="143"/>
      <c r="C87" s="120"/>
      <c r="D87" s="144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3.5" customHeight="1">
      <c r="A88" s="120"/>
      <c r="B88" s="143"/>
      <c r="C88" s="120"/>
      <c r="D88" s="144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3.5" customHeight="1">
      <c r="A89" s="120"/>
      <c r="B89" s="143"/>
      <c r="C89" s="120"/>
      <c r="D89" s="144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3.5" customHeight="1">
      <c r="A90" s="120"/>
      <c r="B90" s="143"/>
      <c r="C90" s="120"/>
      <c r="D90" s="144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3.5" customHeight="1">
      <c r="A91" s="120"/>
      <c r="B91" s="143"/>
      <c r="C91" s="120"/>
      <c r="D91" s="144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3.5" customHeight="1">
      <c r="A92" s="120"/>
      <c r="B92" s="143"/>
      <c r="C92" s="120"/>
      <c r="D92" s="144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3.5" customHeight="1">
      <c r="A93" s="120"/>
      <c r="B93" s="143"/>
      <c r="C93" s="120"/>
      <c r="D93" s="144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3.5" customHeight="1">
      <c r="A94" s="120"/>
      <c r="B94" s="143"/>
      <c r="C94" s="120"/>
      <c r="D94" s="144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3.5" customHeight="1">
      <c r="A95" s="120"/>
      <c r="B95" s="143"/>
      <c r="C95" s="120"/>
      <c r="D95" s="144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3.5" customHeight="1">
      <c r="A96" s="120"/>
      <c r="B96" s="143"/>
      <c r="C96" s="120"/>
      <c r="D96" s="144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3.5" customHeight="1">
      <c r="A97" s="120"/>
      <c r="B97" s="143"/>
      <c r="C97" s="120"/>
      <c r="D97" s="144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3.5" customHeight="1">
      <c r="A98" s="120"/>
      <c r="B98" s="143"/>
      <c r="C98" s="120"/>
      <c r="D98" s="144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3.5" customHeight="1">
      <c r="A99" s="120"/>
      <c r="B99" s="143"/>
      <c r="C99" s="120"/>
      <c r="D99" s="144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3.5" customHeight="1">
      <c r="A100" s="120"/>
      <c r="B100" s="143"/>
      <c r="C100" s="120"/>
      <c r="D100" s="144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3.5" customHeight="1">
      <c r="A101" s="120"/>
      <c r="B101" s="143"/>
      <c r="C101" s="120"/>
      <c r="D101" s="144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3.5" customHeight="1">
      <c r="A102" s="120"/>
      <c r="B102" s="143"/>
      <c r="C102" s="120"/>
      <c r="D102" s="144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3.5" customHeight="1">
      <c r="A103" s="120"/>
      <c r="B103" s="143"/>
      <c r="C103" s="120"/>
      <c r="D103" s="144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3.5" customHeight="1">
      <c r="A104" s="120"/>
      <c r="B104" s="143"/>
      <c r="C104" s="120"/>
      <c r="D104" s="144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3.5" customHeight="1">
      <c r="A105" s="120"/>
      <c r="B105" s="143"/>
      <c r="C105" s="120"/>
      <c r="D105" s="144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3.5" customHeight="1">
      <c r="A106" s="120"/>
      <c r="B106" s="143"/>
      <c r="C106" s="120"/>
      <c r="D106" s="144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3.5" customHeight="1">
      <c r="A107" s="120"/>
      <c r="B107" s="143"/>
      <c r="C107" s="120"/>
      <c r="D107" s="144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3.5" customHeight="1">
      <c r="A108" s="120"/>
      <c r="B108" s="143"/>
      <c r="C108" s="120"/>
      <c r="D108" s="144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3.5" customHeight="1">
      <c r="A109" s="120"/>
      <c r="B109" s="143"/>
      <c r="C109" s="120"/>
      <c r="D109" s="144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3.5" customHeight="1">
      <c r="A110" s="120"/>
      <c r="B110" s="143"/>
      <c r="C110" s="120"/>
      <c r="D110" s="144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3.5" customHeight="1">
      <c r="A111" s="120"/>
      <c r="B111" s="143"/>
      <c r="C111" s="120"/>
      <c r="D111" s="144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3.5" customHeight="1">
      <c r="A112" s="120"/>
      <c r="B112" s="143"/>
      <c r="C112" s="120"/>
      <c r="D112" s="144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3.5" customHeight="1">
      <c r="A113" s="120"/>
      <c r="B113" s="143"/>
      <c r="C113" s="120"/>
      <c r="D113" s="144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3.5" customHeight="1">
      <c r="A114" s="120"/>
      <c r="B114" s="143"/>
      <c r="C114" s="120"/>
      <c r="D114" s="144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3.5" customHeight="1">
      <c r="A115" s="120"/>
      <c r="B115" s="143"/>
      <c r="C115" s="120"/>
      <c r="D115" s="144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3.5" customHeight="1">
      <c r="A116" s="120"/>
      <c r="B116" s="143"/>
      <c r="C116" s="120"/>
      <c r="D116" s="144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3.5" customHeight="1">
      <c r="A117" s="120"/>
      <c r="B117" s="143"/>
      <c r="C117" s="120"/>
      <c r="D117" s="144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3.5" customHeight="1">
      <c r="A118" s="120"/>
      <c r="B118" s="143"/>
      <c r="C118" s="120"/>
      <c r="D118" s="144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3.5" customHeight="1">
      <c r="A119" s="120"/>
      <c r="B119" s="143"/>
      <c r="C119" s="120"/>
      <c r="D119" s="144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3.5" customHeight="1">
      <c r="A120" s="120"/>
      <c r="B120" s="143"/>
      <c r="C120" s="120"/>
      <c r="D120" s="144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3.5" customHeight="1">
      <c r="A121" s="120"/>
      <c r="B121" s="143"/>
      <c r="C121" s="120"/>
      <c r="D121" s="144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3.5" customHeight="1">
      <c r="A122" s="120"/>
      <c r="B122" s="143"/>
      <c r="C122" s="120"/>
      <c r="D122" s="144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3.5" customHeight="1">
      <c r="A123" s="120"/>
      <c r="B123" s="143"/>
      <c r="C123" s="120"/>
      <c r="D123" s="144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3.5" customHeight="1">
      <c r="A124" s="120"/>
      <c r="B124" s="143"/>
      <c r="C124" s="120"/>
      <c r="D124" s="144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3.5" customHeight="1">
      <c r="A125" s="120"/>
      <c r="B125" s="143"/>
      <c r="C125" s="120"/>
      <c r="D125" s="144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3.5" customHeight="1">
      <c r="A126" s="120"/>
      <c r="B126" s="143"/>
      <c r="C126" s="120"/>
      <c r="D126" s="144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3.5" customHeight="1">
      <c r="A127" s="120"/>
      <c r="B127" s="143"/>
      <c r="C127" s="120"/>
      <c r="D127" s="144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3.5" customHeight="1">
      <c r="A128" s="120"/>
      <c r="B128" s="143"/>
      <c r="C128" s="120"/>
      <c r="D128" s="144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3.5" customHeight="1">
      <c r="A129" s="120"/>
      <c r="B129" s="143"/>
      <c r="C129" s="120"/>
      <c r="D129" s="144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3.5" customHeight="1">
      <c r="A130" s="120"/>
      <c r="B130" s="143"/>
      <c r="C130" s="120"/>
      <c r="D130" s="144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3.5" customHeight="1">
      <c r="A131" s="120"/>
      <c r="B131" s="143"/>
      <c r="C131" s="120"/>
      <c r="D131" s="144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3.5" customHeight="1">
      <c r="A132" s="120"/>
      <c r="B132" s="143"/>
      <c r="C132" s="120"/>
      <c r="D132" s="144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3.5" customHeight="1">
      <c r="A133" s="120"/>
      <c r="B133" s="143"/>
      <c r="C133" s="120"/>
      <c r="D133" s="144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3.5" customHeight="1">
      <c r="A134" s="120"/>
      <c r="B134" s="143"/>
      <c r="C134" s="120"/>
      <c r="D134" s="144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3.5" customHeight="1">
      <c r="A135" s="120"/>
      <c r="B135" s="143"/>
      <c r="C135" s="120"/>
      <c r="D135" s="144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3.5" customHeight="1">
      <c r="A136" s="120"/>
      <c r="B136" s="143"/>
      <c r="C136" s="120"/>
      <c r="D136" s="144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3.5" customHeight="1">
      <c r="A137" s="120"/>
      <c r="B137" s="143"/>
      <c r="C137" s="120"/>
      <c r="D137" s="144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3.5" customHeight="1">
      <c r="A138" s="120"/>
      <c r="B138" s="143"/>
      <c r="C138" s="120"/>
      <c r="D138" s="144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3.5" customHeight="1">
      <c r="A139" s="120"/>
      <c r="B139" s="143"/>
      <c r="C139" s="120"/>
      <c r="D139" s="144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3.5" customHeight="1">
      <c r="A140" s="120"/>
      <c r="B140" s="143"/>
      <c r="C140" s="120"/>
      <c r="D140" s="144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3.5" customHeight="1">
      <c r="A141" s="120"/>
      <c r="B141" s="143"/>
      <c r="C141" s="120"/>
      <c r="D141" s="144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3.5" customHeight="1">
      <c r="A142" s="120"/>
      <c r="B142" s="143"/>
      <c r="C142" s="120"/>
      <c r="D142" s="144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3.5" customHeight="1">
      <c r="A143" s="120"/>
      <c r="B143" s="143"/>
      <c r="C143" s="120"/>
      <c r="D143" s="144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3.5" customHeight="1">
      <c r="A144" s="120"/>
      <c r="B144" s="143"/>
      <c r="C144" s="120"/>
      <c r="D144" s="144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3.5" customHeight="1">
      <c r="A145" s="120"/>
      <c r="B145" s="143"/>
      <c r="C145" s="120"/>
      <c r="D145" s="144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3.5" customHeight="1">
      <c r="A146" s="120"/>
      <c r="B146" s="143"/>
      <c r="C146" s="120"/>
      <c r="D146" s="144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3.5" customHeight="1">
      <c r="A147" s="120"/>
      <c r="B147" s="143"/>
      <c r="C147" s="120"/>
      <c r="D147" s="144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3.5" customHeight="1">
      <c r="A148" s="120"/>
      <c r="B148" s="143"/>
      <c r="C148" s="120"/>
      <c r="D148" s="144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3.5" customHeight="1">
      <c r="A149" s="120"/>
      <c r="B149" s="143"/>
      <c r="C149" s="120"/>
      <c r="D149" s="144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3.5" customHeight="1">
      <c r="A150" s="120"/>
      <c r="B150" s="143"/>
      <c r="C150" s="120"/>
      <c r="D150" s="144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3.5" customHeight="1">
      <c r="A151" s="120"/>
      <c r="B151" s="143"/>
      <c r="C151" s="120"/>
      <c r="D151" s="144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3.5" customHeight="1">
      <c r="A152" s="120"/>
      <c r="B152" s="143"/>
      <c r="C152" s="120"/>
      <c r="D152" s="144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3.5" customHeight="1">
      <c r="A153" s="120"/>
      <c r="B153" s="143"/>
      <c r="C153" s="120"/>
      <c r="D153" s="144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3.5" customHeight="1">
      <c r="A154" s="120"/>
      <c r="B154" s="143"/>
      <c r="C154" s="120"/>
      <c r="D154" s="144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3.5" customHeight="1">
      <c r="A155" s="120"/>
      <c r="B155" s="143"/>
      <c r="C155" s="120"/>
      <c r="D155" s="144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3.5" customHeight="1">
      <c r="A156" s="120"/>
      <c r="B156" s="143"/>
      <c r="C156" s="120"/>
      <c r="D156" s="144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3.5" customHeight="1">
      <c r="A157" s="120"/>
      <c r="B157" s="143"/>
      <c r="C157" s="120"/>
      <c r="D157" s="144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3.5" customHeight="1">
      <c r="A158" s="120"/>
      <c r="B158" s="143"/>
      <c r="C158" s="120"/>
      <c r="D158" s="144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3.5" customHeight="1">
      <c r="A159" s="120"/>
      <c r="B159" s="143"/>
      <c r="C159" s="120"/>
      <c r="D159" s="144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3.5" customHeight="1">
      <c r="A160" s="120"/>
      <c r="B160" s="143"/>
      <c r="C160" s="120"/>
      <c r="D160" s="144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3.5" customHeight="1">
      <c r="A161" s="120"/>
      <c r="B161" s="143"/>
      <c r="C161" s="120"/>
      <c r="D161" s="144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3.5" customHeight="1">
      <c r="A162" s="120"/>
      <c r="B162" s="143"/>
      <c r="C162" s="120"/>
      <c r="D162" s="144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3.5" customHeight="1">
      <c r="A163" s="120"/>
      <c r="B163" s="143"/>
      <c r="C163" s="120"/>
      <c r="D163" s="144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3.5" customHeight="1">
      <c r="A164" s="120"/>
      <c r="B164" s="143"/>
      <c r="C164" s="120"/>
      <c r="D164" s="144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3.5" customHeight="1">
      <c r="A165" s="120"/>
      <c r="B165" s="143"/>
      <c r="C165" s="120"/>
      <c r="D165" s="144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3.5" customHeight="1">
      <c r="A166" s="120"/>
      <c r="B166" s="143"/>
      <c r="C166" s="120"/>
      <c r="D166" s="144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3.5" customHeight="1">
      <c r="A167" s="120"/>
      <c r="B167" s="143"/>
      <c r="C167" s="120"/>
      <c r="D167" s="144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3.5" customHeight="1">
      <c r="A168" s="120"/>
      <c r="B168" s="143"/>
      <c r="C168" s="120"/>
      <c r="D168" s="144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3.5" customHeight="1">
      <c r="A169" s="120"/>
      <c r="B169" s="143"/>
      <c r="C169" s="120"/>
      <c r="D169" s="144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3.5" customHeight="1">
      <c r="A170" s="120"/>
      <c r="B170" s="143"/>
      <c r="C170" s="120"/>
      <c r="D170" s="144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3.5" customHeight="1">
      <c r="A171" s="120"/>
      <c r="B171" s="143"/>
      <c r="C171" s="120"/>
      <c r="D171" s="144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3.5" customHeight="1">
      <c r="A172" s="120"/>
      <c r="B172" s="143"/>
      <c r="C172" s="120"/>
      <c r="D172" s="144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3.5" customHeight="1">
      <c r="A173" s="120"/>
      <c r="B173" s="143"/>
      <c r="C173" s="120"/>
      <c r="D173" s="144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3.5" customHeight="1">
      <c r="A174" s="120"/>
      <c r="B174" s="143"/>
      <c r="C174" s="120"/>
      <c r="D174" s="144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3.5" customHeight="1">
      <c r="A175" s="120"/>
      <c r="B175" s="143"/>
      <c r="C175" s="120"/>
      <c r="D175" s="144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3.5" customHeight="1">
      <c r="A176" s="120"/>
      <c r="B176" s="143"/>
      <c r="C176" s="120"/>
      <c r="D176" s="144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3.5" customHeight="1">
      <c r="A177" s="120"/>
      <c r="B177" s="143"/>
      <c r="C177" s="120"/>
      <c r="D177" s="144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3.5" customHeight="1">
      <c r="A178" s="120"/>
      <c r="B178" s="143"/>
      <c r="C178" s="120"/>
      <c r="D178" s="144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3.5" customHeight="1">
      <c r="A179" s="120"/>
      <c r="B179" s="143"/>
      <c r="C179" s="120"/>
      <c r="D179" s="144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3.5" customHeight="1">
      <c r="A180" s="120"/>
      <c r="B180" s="143"/>
      <c r="C180" s="120"/>
      <c r="D180" s="144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3.5" customHeight="1">
      <c r="A181" s="120"/>
      <c r="B181" s="143"/>
      <c r="C181" s="120"/>
      <c r="D181" s="144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3.5" customHeight="1">
      <c r="A182" s="120"/>
      <c r="B182" s="143"/>
      <c r="C182" s="120"/>
      <c r="D182" s="144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3.5" customHeight="1">
      <c r="A183" s="120"/>
      <c r="B183" s="143"/>
      <c r="C183" s="120"/>
      <c r="D183" s="144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3.5" customHeight="1">
      <c r="A184" s="120"/>
      <c r="B184" s="143"/>
      <c r="C184" s="120"/>
      <c r="D184" s="144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3.5" customHeight="1">
      <c r="A185" s="120"/>
      <c r="B185" s="143"/>
      <c r="C185" s="120"/>
      <c r="D185" s="144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3.5" customHeight="1">
      <c r="A186" s="120"/>
      <c r="B186" s="143"/>
      <c r="C186" s="120"/>
      <c r="D186" s="144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3.5" customHeight="1">
      <c r="A187" s="120"/>
      <c r="B187" s="143"/>
      <c r="C187" s="120"/>
      <c r="D187" s="144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3.5" customHeight="1">
      <c r="A188" s="120"/>
      <c r="B188" s="143"/>
      <c r="C188" s="120"/>
      <c r="D188" s="144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3.5" customHeight="1">
      <c r="A189" s="120"/>
      <c r="B189" s="143"/>
      <c r="C189" s="120"/>
      <c r="D189" s="144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3.5" customHeight="1">
      <c r="A190" s="120"/>
      <c r="B190" s="143"/>
      <c r="C190" s="120"/>
      <c r="D190" s="144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3.5" customHeight="1">
      <c r="A191" s="120"/>
      <c r="B191" s="143"/>
      <c r="C191" s="120"/>
      <c r="D191" s="144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3.5" customHeight="1">
      <c r="A192" s="120"/>
      <c r="B192" s="143"/>
      <c r="C192" s="120"/>
      <c r="D192" s="144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3.5" customHeight="1">
      <c r="A193" s="120"/>
      <c r="B193" s="143"/>
      <c r="C193" s="120"/>
      <c r="D193" s="144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3.5" customHeight="1">
      <c r="A194" s="120"/>
      <c r="B194" s="143"/>
      <c r="C194" s="120"/>
      <c r="D194" s="144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3.5" customHeight="1">
      <c r="A195" s="120"/>
      <c r="B195" s="143"/>
      <c r="C195" s="120"/>
      <c r="D195" s="144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3.5" customHeight="1">
      <c r="A196" s="120"/>
      <c r="B196" s="143"/>
      <c r="C196" s="120"/>
      <c r="D196" s="144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3.5" customHeight="1">
      <c r="A197" s="120"/>
      <c r="B197" s="143"/>
      <c r="C197" s="120"/>
      <c r="D197" s="144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3.5" customHeight="1">
      <c r="A198" s="120"/>
      <c r="B198" s="143"/>
      <c r="C198" s="120"/>
      <c r="D198" s="144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3.5" customHeight="1">
      <c r="A199" s="120"/>
      <c r="B199" s="143"/>
      <c r="C199" s="120"/>
      <c r="D199" s="144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3.5" customHeight="1">
      <c r="A200" s="120"/>
      <c r="B200" s="143"/>
      <c r="C200" s="120"/>
      <c r="D200" s="144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3.5" customHeight="1">
      <c r="A201" s="120"/>
      <c r="B201" s="143"/>
      <c r="C201" s="120"/>
      <c r="D201" s="144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3.5" customHeight="1">
      <c r="A202" s="120"/>
      <c r="B202" s="143"/>
      <c r="C202" s="120"/>
      <c r="D202" s="144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3.5" customHeight="1">
      <c r="A203" s="120"/>
      <c r="B203" s="143"/>
      <c r="C203" s="120"/>
      <c r="D203" s="144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3.5" customHeight="1">
      <c r="A204" s="120"/>
      <c r="B204" s="143"/>
      <c r="C204" s="120"/>
      <c r="D204" s="144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3.5" customHeight="1">
      <c r="A205" s="120"/>
      <c r="B205" s="143"/>
      <c r="C205" s="120"/>
      <c r="D205" s="144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3.5" customHeight="1">
      <c r="A206" s="120"/>
      <c r="B206" s="143"/>
      <c r="C206" s="120"/>
      <c r="D206" s="144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3.5" customHeight="1">
      <c r="A207" s="120"/>
      <c r="B207" s="143"/>
      <c r="C207" s="120"/>
      <c r="D207" s="144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3.5" customHeight="1">
      <c r="A208" s="120"/>
      <c r="B208" s="143"/>
      <c r="C208" s="120"/>
      <c r="D208" s="144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3.5" customHeight="1">
      <c r="A209" s="120"/>
      <c r="B209" s="143"/>
      <c r="C209" s="120"/>
      <c r="D209" s="144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3.5" customHeight="1">
      <c r="A210" s="120"/>
      <c r="B210" s="143"/>
      <c r="C210" s="120"/>
      <c r="D210" s="144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3.5" customHeight="1">
      <c r="A211" s="120"/>
      <c r="B211" s="143"/>
      <c r="C211" s="120"/>
      <c r="D211" s="144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3.5" customHeight="1">
      <c r="A212" s="120"/>
      <c r="B212" s="143"/>
      <c r="C212" s="120"/>
      <c r="D212" s="144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3.5" customHeight="1">
      <c r="A213" s="120"/>
      <c r="B213" s="143"/>
      <c r="C213" s="120"/>
      <c r="D213" s="144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3.5" customHeight="1">
      <c r="A214" s="120"/>
      <c r="B214" s="143"/>
      <c r="C214" s="120"/>
      <c r="D214" s="144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3.5" customHeight="1">
      <c r="A215" s="120"/>
      <c r="B215" s="143"/>
      <c r="C215" s="120"/>
      <c r="D215" s="144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3.5" customHeight="1">
      <c r="A216" s="120"/>
      <c r="B216" s="143"/>
      <c r="C216" s="120"/>
      <c r="D216" s="144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3.5" customHeight="1">
      <c r="A217" s="120"/>
      <c r="B217" s="143"/>
      <c r="C217" s="120"/>
      <c r="D217" s="144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3.5" customHeight="1">
      <c r="A218" s="120"/>
      <c r="B218" s="143"/>
      <c r="C218" s="120"/>
      <c r="D218" s="144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3.5" customHeight="1">
      <c r="A219" s="120"/>
      <c r="B219" s="143"/>
      <c r="C219" s="120"/>
      <c r="D219" s="144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3.5" customHeight="1">
      <c r="A220" s="120"/>
      <c r="B220" s="143"/>
      <c r="C220" s="120"/>
      <c r="D220" s="144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3.5" customHeight="1">
      <c r="A221" s="120"/>
      <c r="B221" s="143"/>
      <c r="C221" s="120"/>
      <c r="D221" s="144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3.5" customHeight="1">
      <c r="A222" s="120"/>
      <c r="B222" s="143"/>
      <c r="C222" s="120"/>
      <c r="D222" s="144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3.5" customHeight="1">
      <c r="A223" s="120"/>
      <c r="B223" s="143"/>
      <c r="C223" s="120"/>
      <c r="D223" s="144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3.5" customHeight="1">
      <c r="A224" s="120"/>
      <c r="B224" s="143"/>
      <c r="C224" s="120"/>
      <c r="D224" s="144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3.5" customHeight="1">
      <c r="A225" s="120"/>
      <c r="B225" s="143"/>
      <c r="C225" s="120"/>
      <c r="D225" s="144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3.5" customHeight="1">
      <c r="A226" s="120"/>
      <c r="B226" s="143"/>
      <c r="C226" s="120"/>
      <c r="D226" s="144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3.5" customHeight="1">
      <c r="A227" s="120"/>
      <c r="B227" s="143"/>
      <c r="C227" s="120"/>
      <c r="D227" s="144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3.5" customHeight="1">
      <c r="A228" s="120"/>
      <c r="B228" s="143"/>
      <c r="C228" s="120"/>
      <c r="D228" s="144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3.5" customHeight="1">
      <c r="A229" s="120"/>
      <c r="B229" s="143"/>
      <c r="C229" s="120"/>
      <c r="D229" s="144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3.5" customHeight="1">
      <c r="A230" s="120"/>
      <c r="B230" s="143"/>
      <c r="C230" s="120"/>
      <c r="D230" s="144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3.5" customHeight="1">
      <c r="A231" s="120"/>
      <c r="B231" s="143"/>
      <c r="C231" s="120"/>
      <c r="D231" s="144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3.5" customHeight="1">
      <c r="A232" s="120"/>
      <c r="B232" s="143"/>
      <c r="C232" s="120"/>
      <c r="D232" s="144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3.5" customHeight="1">
      <c r="A233" s="120"/>
      <c r="B233" s="143"/>
      <c r="C233" s="120"/>
      <c r="D233" s="144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3.5" customHeight="1">
      <c r="A234" s="120"/>
      <c r="B234" s="143"/>
      <c r="C234" s="120"/>
      <c r="D234" s="144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3.5" customHeight="1">
      <c r="A235" s="120"/>
      <c r="B235" s="143"/>
      <c r="C235" s="120"/>
      <c r="D235" s="144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3.5" customHeight="1">
      <c r="A236" s="120"/>
      <c r="B236" s="143"/>
      <c r="C236" s="120"/>
      <c r="D236" s="144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3.5" customHeight="1">
      <c r="A237" s="120"/>
      <c r="B237" s="143"/>
      <c r="C237" s="120"/>
      <c r="D237" s="144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3.5" customHeight="1">
      <c r="A238" s="120"/>
      <c r="B238" s="143"/>
      <c r="C238" s="120"/>
      <c r="D238" s="144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3.5" customHeight="1">
      <c r="A239" s="120"/>
      <c r="B239" s="143"/>
      <c r="C239" s="120"/>
      <c r="D239" s="144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3.5" customHeight="1">
      <c r="A240" s="120"/>
      <c r="B240" s="143"/>
      <c r="C240" s="120"/>
      <c r="D240" s="144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3.5" customHeight="1">
      <c r="A241" s="120"/>
      <c r="B241" s="143"/>
      <c r="C241" s="120"/>
      <c r="D241" s="144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3.5" customHeight="1">
      <c r="A242" s="120"/>
      <c r="B242" s="143"/>
      <c r="C242" s="120"/>
      <c r="D242" s="144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3.5" customHeight="1">
      <c r="A243" s="120"/>
      <c r="B243" s="143"/>
      <c r="C243" s="120"/>
      <c r="D243" s="144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3.5" customHeight="1">
      <c r="A244" s="120"/>
      <c r="B244" s="143"/>
      <c r="C244" s="120"/>
      <c r="D244" s="144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3.5" customHeight="1">
      <c r="A245" s="120"/>
      <c r="B245" s="143"/>
      <c r="C245" s="120"/>
      <c r="D245" s="144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3.5" customHeight="1">
      <c r="A246" s="120"/>
      <c r="B246" s="143"/>
      <c r="C246" s="120"/>
      <c r="D246" s="144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3.5" customHeight="1">
      <c r="A247" s="120"/>
      <c r="B247" s="143"/>
      <c r="C247" s="120"/>
      <c r="D247" s="144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3.5" customHeight="1">
      <c r="A248" s="120"/>
      <c r="B248" s="143"/>
      <c r="C248" s="120"/>
      <c r="D248" s="144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3.5" customHeight="1">
      <c r="A249" s="120"/>
      <c r="B249" s="143"/>
      <c r="C249" s="120"/>
      <c r="D249" s="144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3.5" customHeight="1">
      <c r="A250" s="120"/>
      <c r="B250" s="143"/>
      <c r="C250" s="120"/>
      <c r="D250" s="144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3.5" customHeight="1">
      <c r="A251" s="120"/>
      <c r="B251" s="143"/>
      <c r="C251" s="120"/>
      <c r="D251" s="144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3.5" customHeight="1">
      <c r="A252" s="120"/>
      <c r="B252" s="143"/>
      <c r="C252" s="120"/>
      <c r="D252" s="144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3.5" customHeight="1">
      <c r="A253" s="120"/>
      <c r="B253" s="143"/>
      <c r="C253" s="120"/>
      <c r="D253" s="144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3.5" customHeight="1">
      <c r="A254" s="120"/>
      <c r="B254" s="143"/>
      <c r="C254" s="120"/>
      <c r="D254" s="144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3.5" customHeight="1">
      <c r="A255" s="120"/>
      <c r="B255" s="143"/>
      <c r="C255" s="120"/>
      <c r="D255" s="144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3.5" customHeight="1">
      <c r="A256" s="120"/>
      <c r="B256" s="143"/>
      <c r="C256" s="120"/>
      <c r="D256" s="144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3.5" customHeight="1">
      <c r="A257" s="120"/>
      <c r="B257" s="143"/>
      <c r="C257" s="120"/>
      <c r="D257" s="144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3.5" customHeight="1">
      <c r="A258" s="120"/>
      <c r="B258" s="143"/>
      <c r="C258" s="120"/>
      <c r="D258" s="144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3.5" customHeight="1">
      <c r="A259" s="120"/>
      <c r="B259" s="143"/>
      <c r="C259" s="120"/>
      <c r="D259" s="144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3.5" customHeight="1">
      <c r="A260" s="120"/>
      <c r="B260" s="143"/>
      <c r="C260" s="120"/>
      <c r="D260" s="144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3.5" customHeight="1">
      <c r="A261" s="120"/>
      <c r="B261" s="143"/>
      <c r="C261" s="120"/>
      <c r="D261" s="144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3.5" customHeight="1">
      <c r="A262" s="120"/>
      <c r="B262" s="143"/>
      <c r="C262" s="120"/>
      <c r="D262" s="144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3.5" customHeight="1">
      <c r="A263" s="120"/>
      <c r="B263" s="143"/>
      <c r="C263" s="120"/>
      <c r="D263" s="144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3.5" customHeight="1">
      <c r="A264" s="120"/>
      <c r="B264" s="143"/>
      <c r="C264" s="120"/>
      <c r="D264" s="144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3.5" customHeight="1">
      <c r="A265" s="120"/>
      <c r="B265" s="143"/>
      <c r="C265" s="120"/>
      <c r="D265" s="144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3.5" customHeight="1">
      <c r="A266" s="120"/>
      <c r="B266" s="143"/>
      <c r="C266" s="120"/>
      <c r="D266" s="144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3.5" customHeight="1">
      <c r="A267" s="120"/>
      <c r="B267" s="143"/>
      <c r="C267" s="120"/>
      <c r="D267" s="144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3.5" customHeight="1">
      <c r="A268" s="120"/>
      <c r="B268" s="143"/>
      <c r="C268" s="120"/>
      <c r="D268" s="144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3.5" customHeight="1">
      <c r="A269" s="120"/>
      <c r="B269" s="143"/>
      <c r="C269" s="120"/>
      <c r="D269" s="144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3.5" customHeight="1">
      <c r="A270" s="120"/>
      <c r="B270" s="143"/>
      <c r="C270" s="120"/>
      <c r="D270" s="144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3.5" customHeight="1">
      <c r="A271" s="120"/>
      <c r="B271" s="143"/>
      <c r="C271" s="120"/>
      <c r="D271" s="144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3.5" customHeight="1">
      <c r="A272" s="120"/>
      <c r="B272" s="143"/>
      <c r="C272" s="120"/>
      <c r="D272" s="144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3.5" customHeight="1">
      <c r="A273" s="120"/>
      <c r="B273" s="143"/>
      <c r="C273" s="120"/>
      <c r="D273" s="144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3.5" customHeight="1">
      <c r="A274" s="120"/>
      <c r="B274" s="143"/>
      <c r="C274" s="120"/>
      <c r="D274" s="144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3.5" customHeight="1">
      <c r="A275" s="120"/>
      <c r="B275" s="143"/>
      <c r="C275" s="120"/>
      <c r="D275" s="144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3.5" customHeight="1">
      <c r="A276" s="120"/>
      <c r="B276" s="143"/>
      <c r="C276" s="120"/>
      <c r="D276" s="144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3.5" customHeight="1">
      <c r="A277" s="120"/>
      <c r="B277" s="143"/>
      <c r="C277" s="120"/>
      <c r="D277" s="144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3.5" customHeight="1">
      <c r="A278" s="120"/>
      <c r="B278" s="143"/>
      <c r="C278" s="120"/>
      <c r="D278" s="144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3.5" customHeight="1">
      <c r="A279" s="120"/>
      <c r="B279" s="143"/>
      <c r="C279" s="120"/>
      <c r="D279" s="144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3.5" customHeight="1">
      <c r="A280" s="120"/>
      <c r="B280" s="143"/>
      <c r="C280" s="120"/>
      <c r="D280" s="144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3.5" customHeight="1">
      <c r="A281" s="120"/>
      <c r="B281" s="143"/>
      <c r="C281" s="120"/>
      <c r="D281" s="144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3.5" customHeight="1">
      <c r="A282" s="120"/>
      <c r="B282" s="143"/>
      <c r="C282" s="120"/>
      <c r="D282" s="144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3.5" customHeight="1">
      <c r="A283" s="120"/>
      <c r="B283" s="143"/>
      <c r="C283" s="120"/>
      <c r="D283" s="144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3.5" customHeight="1">
      <c r="A284" s="120"/>
      <c r="B284" s="143"/>
      <c r="C284" s="120"/>
      <c r="D284" s="144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3.5" customHeight="1">
      <c r="A285" s="120"/>
      <c r="B285" s="143"/>
      <c r="C285" s="120"/>
      <c r="D285" s="144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3.5" customHeight="1">
      <c r="A286" s="120"/>
      <c r="B286" s="143"/>
      <c r="C286" s="120"/>
      <c r="D286" s="144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3.5" customHeight="1">
      <c r="A287" s="120"/>
      <c r="B287" s="143"/>
      <c r="C287" s="120"/>
      <c r="D287" s="144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3.5" customHeight="1">
      <c r="A288" s="120"/>
      <c r="B288" s="143"/>
      <c r="C288" s="120"/>
      <c r="D288" s="144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3.5" customHeight="1">
      <c r="A289" s="120"/>
      <c r="B289" s="143"/>
      <c r="C289" s="120"/>
      <c r="D289" s="144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3.5" customHeight="1">
      <c r="A290" s="120"/>
      <c r="B290" s="143"/>
      <c r="C290" s="120"/>
      <c r="D290" s="144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3.5" customHeight="1">
      <c r="A291" s="120"/>
      <c r="B291" s="143"/>
      <c r="C291" s="120"/>
      <c r="D291" s="144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3.5" customHeight="1">
      <c r="A292" s="120"/>
      <c r="B292" s="143"/>
      <c r="C292" s="120"/>
      <c r="D292" s="144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3.5" customHeight="1">
      <c r="A293" s="120"/>
      <c r="B293" s="143"/>
      <c r="C293" s="120"/>
      <c r="D293" s="144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3.5" customHeight="1">
      <c r="A294" s="120"/>
      <c r="B294" s="143"/>
      <c r="C294" s="120"/>
      <c r="D294" s="144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3.5" customHeight="1">
      <c r="A295" s="120"/>
      <c r="B295" s="143"/>
      <c r="C295" s="120"/>
      <c r="D295" s="144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3.5" customHeight="1">
      <c r="A296" s="120"/>
      <c r="B296" s="143"/>
      <c r="C296" s="120"/>
      <c r="D296" s="144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3.5" customHeight="1">
      <c r="A297" s="120"/>
      <c r="B297" s="143"/>
      <c r="C297" s="120"/>
      <c r="D297" s="144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3.5" customHeight="1">
      <c r="A298" s="120"/>
      <c r="B298" s="143"/>
      <c r="C298" s="120"/>
      <c r="D298" s="144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3.5" customHeight="1">
      <c r="A299" s="120"/>
      <c r="B299" s="143"/>
      <c r="C299" s="120"/>
      <c r="D299" s="144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3.5" customHeight="1">
      <c r="A300" s="120"/>
      <c r="B300" s="143"/>
      <c r="C300" s="120"/>
      <c r="D300" s="144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3.5" customHeight="1">
      <c r="A301" s="120"/>
      <c r="B301" s="143"/>
      <c r="C301" s="120"/>
      <c r="D301" s="144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3.5" customHeight="1">
      <c r="A302" s="120"/>
      <c r="B302" s="143"/>
      <c r="C302" s="120"/>
      <c r="D302" s="144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3.5" customHeight="1">
      <c r="A303" s="120"/>
      <c r="B303" s="143"/>
      <c r="C303" s="120"/>
      <c r="D303" s="144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3.5" customHeight="1">
      <c r="A304" s="120"/>
      <c r="B304" s="143"/>
      <c r="C304" s="120"/>
      <c r="D304" s="144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3.5" customHeight="1">
      <c r="A305" s="120"/>
      <c r="B305" s="143"/>
      <c r="C305" s="120"/>
      <c r="D305" s="144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3.5" customHeight="1">
      <c r="A306" s="120"/>
      <c r="B306" s="143"/>
      <c r="C306" s="120"/>
      <c r="D306" s="144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3.5" customHeight="1">
      <c r="A307" s="120"/>
      <c r="B307" s="143"/>
      <c r="C307" s="120"/>
      <c r="D307" s="144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3.5" customHeight="1">
      <c r="A308" s="120"/>
      <c r="B308" s="143"/>
      <c r="C308" s="120"/>
      <c r="D308" s="144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3.5" customHeight="1">
      <c r="A309" s="120"/>
      <c r="B309" s="143"/>
      <c r="C309" s="120"/>
      <c r="D309" s="144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3.5" customHeight="1">
      <c r="A310" s="120"/>
      <c r="B310" s="143"/>
      <c r="C310" s="120"/>
      <c r="D310" s="144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3.5" customHeight="1">
      <c r="A311" s="120"/>
      <c r="B311" s="143"/>
      <c r="C311" s="120"/>
      <c r="D311" s="144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3.5" customHeight="1">
      <c r="A312" s="120"/>
      <c r="B312" s="143"/>
      <c r="C312" s="120"/>
      <c r="D312" s="144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3.5" customHeight="1">
      <c r="A313" s="120"/>
      <c r="B313" s="143"/>
      <c r="C313" s="120"/>
      <c r="D313" s="144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3.5" customHeight="1">
      <c r="A314" s="120"/>
      <c r="B314" s="143"/>
      <c r="C314" s="120"/>
      <c r="D314" s="144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3.5" customHeight="1">
      <c r="A315" s="120"/>
      <c r="B315" s="143"/>
      <c r="C315" s="120"/>
      <c r="D315" s="144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3.5" customHeight="1">
      <c r="A316" s="120"/>
      <c r="B316" s="143"/>
      <c r="C316" s="120"/>
      <c r="D316" s="144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3.5" customHeight="1">
      <c r="A317" s="120"/>
      <c r="B317" s="143"/>
      <c r="C317" s="120"/>
      <c r="D317" s="144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3.5" customHeight="1">
      <c r="A318" s="120"/>
      <c r="B318" s="143"/>
      <c r="C318" s="120"/>
      <c r="D318" s="144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3.5" customHeight="1">
      <c r="A319" s="120"/>
      <c r="B319" s="143"/>
      <c r="C319" s="120"/>
      <c r="D319" s="144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3.5" customHeight="1">
      <c r="A320" s="120"/>
      <c r="B320" s="143"/>
      <c r="C320" s="120"/>
      <c r="D320" s="144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3.5" customHeight="1">
      <c r="A321" s="120"/>
      <c r="B321" s="143"/>
      <c r="C321" s="120"/>
      <c r="D321" s="144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3.5" customHeight="1">
      <c r="A322" s="120"/>
      <c r="B322" s="143"/>
      <c r="C322" s="120"/>
      <c r="D322" s="144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3.5" customHeight="1">
      <c r="A323" s="120"/>
      <c r="B323" s="143"/>
      <c r="C323" s="120"/>
      <c r="D323" s="144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3.5" customHeight="1">
      <c r="A324" s="120"/>
      <c r="B324" s="143"/>
      <c r="C324" s="120"/>
      <c r="D324" s="144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3.5" customHeight="1">
      <c r="A325" s="120"/>
      <c r="B325" s="143"/>
      <c r="C325" s="120"/>
      <c r="D325" s="144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3.5" customHeight="1">
      <c r="A326" s="120"/>
      <c r="B326" s="143"/>
      <c r="C326" s="120"/>
      <c r="D326" s="144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3.5" customHeight="1">
      <c r="A327" s="120"/>
      <c r="B327" s="143"/>
      <c r="C327" s="120"/>
      <c r="D327" s="144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3.5" customHeight="1">
      <c r="A328" s="120"/>
      <c r="B328" s="143"/>
      <c r="C328" s="120"/>
      <c r="D328" s="144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3.5" customHeight="1">
      <c r="A329" s="120"/>
      <c r="B329" s="143"/>
      <c r="C329" s="120"/>
      <c r="D329" s="144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3.5" customHeight="1">
      <c r="A330" s="120"/>
      <c r="B330" s="143"/>
      <c r="C330" s="120"/>
      <c r="D330" s="144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3.5" customHeight="1">
      <c r="A331" s="120"/>
      <c r="B331" s="143"/>
      <c r="C331" s="120"/>
      <c r="D331" s="144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3.5" customHeight="1">
      <c r="A332" s="120"/>
      <c r="B332" s="143"/>
      <c r="C332" s="120"/>
      <c r="D332" s="144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3.5" customHeight="1">
      <c r="A333" s="120"/>
      <c r="B333" s="143"/>
      <c r="C333" s="120"/>
      <c r="D333" s="144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3.5" customHeight="1">
      <c r="A334" s="120"/>
      <c r="B334" s="143"/>
      <c r="C334" s="120"/>
      <c r="D334" s="144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3.5" customHeight="1">
      <c r="A335" s="120"/>
      <c r="B335" s="143"/>
      <c r="C335" s="120"/>
      <c r="D335" s="144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3.5" customHeight="1">
      <c r="A336" s="120"/>
      <c r="B336" s="143"/>
      <c r="C336" s="120"/>
      <c r="D336" s="144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3.5" customHeight="1">
      <c r="A337" s="120"/>
      <c r="B337" s="143"/>
      <c r="C337" s="120"/>
      <c r="D337" s="144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3.5" customHeight="1">
      <c r="A338" s="120"/>
      <c r="B338" s="143"/>
      <c r="C338" s="120"/>
      <c r="D338" s="144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3.5" customHeight="1">
      <c r="A339" s="120"/>
      <c r="B339" s="143"/>
      <c r="C339" s="120"/>
      <c r="D339" s="144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3.5" customHeight="1">
      <c r="A340" s="120"/>
      <c r="B340" s="143"/>
      <c r="C340" s="120"/>
      <c r="D340" s="144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3.5" customHeight="1">
      <c r="A341" s="120"/>
      <c r="B341" s="143"/>
      <c r="C341" s="120"/>
      <c r="D341" s="144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13.5" customHeight="1">
      <c r="A342" s="120"/>
      <c r="B342" s="143"/>
      <c r="C342" s="120"/>
      <c r="D342" s="144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13.5" customHeight="1">
      <c r="A343" s="120"/>
      <c r="B343" s="143"/>
      <c r="C343" s="120"/>
      <c r="D343" s="144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13.5" customHeight="1">
      <c r="A344" s="120"/>
      <c r="B344" s="143"/>
      <c r="C344" s="120"/>
      <c r="D344" s="144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13.5" customHeight="1">
      <c r="A345" s="120"/>
      <c r="B345" s="143"/>
      <c r="C345" s="120"/>
      <c r="D345" s="144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13.5" customHeight="1">
      <c r="A346" s="120"/>
      <c r="B346" s="143"/>
      <c r="C346" s="120"/>
      <c r="D346" s="144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13.5" customHeight="1">
      <c r="A347" s="120"/>
      <c r="B347" s="143"/>
      <c r="C347" s="120"/>
      <c r="D347" s="144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13.5" customHeight="1">
      <c r="A348" s="120"/>
      <c r="B348" s="143"/>
      <c r="C348" s="120"/>
      <c r="D348" s="144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13.5" customHeight="1">
      <c r="A349" s="120"/>
      <c r="B349" s="143"/>
      <c r="C349" s="120"/>
      <c r="D349" s="144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13.5" customHeight="1">
      <c r="A350" s="120"/>
      <c r="B350" s="143"/>
      <c r="C350" s="120"/>
      <c r="D350" s="144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13.5" customHeight="1">
      <c r="A351" s="120"/>
      <c r="B351" s="143"/>
      <c r="C351" s="120"/>
      <c r="D351" s="144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13.5" customHeight="1">
      <c r="A352" s="120"/>
      <c r="B352" s="143"/>
      <c r="C352" s="120"/>
      <c r="D352" s="144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13.5" customHeight="1">
      <c r="A353" s="120"/>
      <c r="B353" s="143"/>
      <c r="C353" s="120"/>
      <c r="D353" s="144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13.5" customHeight="1">
      <c r="A354" s="120"/>
      <c r="B354" s="143"/>
      <c r="C354" s="120"/>
      <c r="D354" s="144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13.5" customHeight="1">
      <c r="A355" s="120"/>
      <c r="B355" s="143"/>
      <c r="C355" s="120"/>
      <c r="D355" s="144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13.5" customHeight="1">
      <c r="A356" s="120"/>
      <c r="B356" s="143"/>
      <c r="C356" s="120"/>
      <c r="D356" s="144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13.5" customHeight="1">
      <c r="A357" s="120"/>
      <c r="B357" s="143"/>
      <c r="C357" s="120"/>
      <c r="D357" s="144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13.5" customHeight="1">
      <c r="A358" s="120"/>
      <c r="B358" s="143"/>
      <c r="C358" s="120"/>
      <c r="D358" s="144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13.5" customHeight="1">
      <c r="A359" s="120"/>
      <c r="B359" s="143"/>
      <c r="C359" s="120"/>
      <c r="D359" s="144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13.5" customHeight="1">
      <c r="A360" s="120"/>
      <c r="B360" s="143"/>
      <c r="C360" s="120"/>
      <c r="D360" s="144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13.5" customHeight="1">
      <c r="A361" s="120"/>
      <c r="B361" s="143"/>
      <c r="C361" s="120"/>
      <c r="D361" s="144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ht="13.5" customHeight="1">
      <c r="A362" s="120"/>
      <c r="B362" s="143"/>
      <c r="C362" s="120"/>
      <c r="D362" s="144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ht="13.5" customHeight="1">
      <c r="A363" s="120"/>
      <c r="B363" s="143"/>
      <c r="C363" s="120"/>
      <c r="D363" s="144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ht="13.5" customHeight="1">
      <c r="A364" s="120"/>
      <c r="B364" s="143"/>
      <c r="C364" s="120"/>
      <c r="D364" s="144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ht="13.5" customHeight="1">
      <c r="A365" s="120"/>
      <c r="B365" s="143"/>
      <c r="C365" s="120"/>
      <c r="D365" s="144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ht="13.5" customHeight="1">
      <c r="A366" s="120"/>
      <c r="B366" s="143"/>
      <c r="C366" s="120"/>
      <c r="D366" s="144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ht="13.5" customHeight="1">
      <c r="A367" s="120"/>
      <c r="B367" s="143"/>
      <c r="C367" s="120"/>
      <c r="D367" s="144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ht="13.5" customHeight="1">
      <c r="A368" s="120"/>
      <c r="B368" s="143"/>
      <c r="C368" s="120"/>
      <c r="D368" s="144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ht="13.5" customHeight="1">
      <c r="A369" s="120"/>
      <c r="B369" s="143"/>
      <c r="C369" s="120"/>
      <c r="D369" s="144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ht="13.5" customHeight="1">
      <c r="A370" s="120"/>
      <c r="B370" s="143"/>
      <c r="C370" s="120"/>
      <c r="D370" s="144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ht="13.5" customHeight="1">
      <c r="A371" s="120"/>
      <c r="B371" s="143"/>
      <c r="C371" s="120"/>
      <c r="D371" s="144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ht="13.5" customHeight="1">
      <c r="A372" s="120"/>
      <c r="B372" s="143"/>
      <c r="C372" s="120"/>
      <c r="D372" s="144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ht="13.5" customHeight="1">
      <c r="A373" s="120"/>
      <c r="B373" s="143"/>
      <c r="C373" s="120"/>
      <c r="D373" s="144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ht="13.5" customHeight="1">
      <c r="A374" s="120"/>
      <c r="B374" s="143"/>
      <c r="C374" s="120"/>
      <c r="D374" s="144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ht="13.5" customHeight="1">
      <c r="A375" s="120"/>
      <c r="B375" s="143"/>
      <c r="C375" s="120"/>
      <c r="D375" s="144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ht="13.5" customHeight="1">
      <c r="A376" s="120"/>
      <c r="B376" s="143"/>
      <c r="C376" s="120"/>
      <c r="D376" s="144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ht="13.5" customHeight="1">
      <c r="A377" s="120"/>
      <c r="B377" s="143"/>
      <c r="C377" s="120"/>
      <c r="D377" s="144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ht="13.5" customHeight="1">
      <c r="A378" s="120"/>
      <c r="B378" s="143"/>
      <c r="C378" s="120"/>
      <c r="D378" s="144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ht="13.5" customHeight="1">
      <c r="A379" s="120"/>
      <c r="B379" s="143"/>
      <c r="C379" s="120"/>
      <c r="D379" s="144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ht="13.5" customHeight="1">
      <c r="A380" s="120"/>
      <c r="B380" s="143"/>
      <c r="C380" s="120"/>
      <c r="D380" s="144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ht="13.5" customHeight="1">
      <c r="A381" s="120"/>
      <c r="B381" s="143"/>
      <c r="C381" s="120"/>
      <c r="D381" s="144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ht="13.5" customHeight="1">
      <c r="A382" s="120"/>
      <c r="B382" s="143"/>
      <c r="C382" s="120"/>
      <c r="D382" s="144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ht="13.5" customHeight="1">
      <c r="A383" s="120"/>
      <c r="B383" s="143"/>
      <c r="C383" s="120"/>
      <c r="D383" s="144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ht="13.5" customHeight="1">
      <c r="A384" s="120"/>
      <c r="B384" s="143"/>
      <c r="C384" s="120"/>
      <c r="D384" s="144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ht="13.5" customHeight="1">
      <c r="A385" s="120"/>
      <c r="B385" s="143"/>
      <c r="C385" s="120"/>
      <c r="D385" s="144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ht="13.5" customHeight="1">
      <c r="A386" s="120"/>
      <c r="B386" s="143"/>
      <c r="C386" s="120"/>
      <c r="D386" s="144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ht="13.5" customHeight="1">
      <c r="A387" s="120"/>
      <c r="B387" s="143"/>
      <c r="C387" s="120"/>
      <c r="D387" s="144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ht="13.5" customHeight="1">
      <c r="A388" s="120"/>
      <c r="B388" s="143"/>
      <c r="C388" s="120"/>
      <c r="D388" s="144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ht="13.5" customHeight="1">
      <c r="A389" s="120"/>
      <c r="B389" s="143"/>
      <c r="C389" s="120"/>
      <c r="D389" s="144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ht="13.5" customHeight="1">
      <c r="A390" s="120"/>
      <c r="B390" s="143"/>
      <c r="C390" s="120"/>
      <c r="D390" s="144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ht="13.5" customHeight="1">
      <c r="A391" s="120"/>
      <c r="B391" s="143"/>
      <c r="C391" s="120"/>
      <c r="D391" s="144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ht="13.5" customHeight="1">
      <c r="A392" s="120"/>
      <c r="B392" s="143"/>
      <c r="C392" s="120"/>
      <c r="D392" s="144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ht="13.5" customHeight="1">
      <c r="A393" s="120"/>
      <c r="B393" s="143"/>
      <c r="C393" s="120"/>
      <c r="D393" s="144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 ht="13.5" customHeight="1">
      <c r="A394" s="120"/>
      <c r="B394" s="143"/>
      <c r="C394" s="120"/>
      <c r="D394" s="144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 ht="13.5" customHeight="1">
      <c r="A395" s="120"/>
      <c r="B395" s="143"/>
      <c r="C395" s="120"/>
      <c r="D395" s="144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 ht="13.5" customHeight="1">
      <c r="A396" s="120"/>
      <c r="B396" s="143"/>
      <c r="C396" s="120"/>
      <c r="D396" s="144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 ht="13.5" customHeight="1">
      <c r="A397" s="120"/>
      <c r="B397" s="143"/>
      <c r="C397" s="120"/>
      <c r="D397" s="144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 ht="13.5" customHeight="1">
      <c r="A398" s="120"/>
      <c r="B398" s="143"/>
      <c r="C398" s="120"/>
      <c r="D398" s="144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 ht="13.5" customHeight="1">
      <c r="A399" s="120"/>
      <c r="B399" s="143"/>
      <c r="C399" s="120"/>
      <c r="D399" s="144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ht="13.5" customHeight="1">
      <c r="A400" s="120"/>
      <c r="B400" s="143"/>
      <c r="C400" s="120"/>
      <c r="D400" s="144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 ht="13.5" customHeight="1">
      <c r="A401" s="120"/>
      <c r="B401" s="143"/>
      <c r="C401" s="120"/>
      <c r="D401" s="144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 ht="13.5" customHeight="1">
      <c r="A402" s="120"/>
      <c r="B402" s="143"/>
      <c r="C402" s="120"/>
      <c r="D402" s="144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 ht="13.5" customHeight="1">
      <c r="A403" s="120"/>
      <c r="B403" s="143"/>
      <c r="C403" s="120"/>
      <c r="D403" s="144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 ht="13.5" customHeight="1">
      <c r="A404" s="120"/>
      <c r="B404" s="143"/>
      <c r="C404" s="120"/>
      <c r="D404" s="144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 ht="13.5" customHeight="1">
      <c r="A405" s="120"/>
      <c r="B405" s="143"/>
      <c r="C405" s="120"/>
      <c r="D405" s="144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 ht="13.5" customHeight="1">
      <c r="A406" s="120"/>
      <c r="B406" s="143"/>
      <c r="C406" s="120"/>
      <c r="D406" s="144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 ht="13.5" customHeight="1">
      <c r="A407" s="120"/>
      <c r="B407" s="143"/>
      <c r="C407" s="120"/>
      <c r="D407" s="144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 ht="13.5" customHeight="1">
      <c r="A408" s="120"/>
      <c r="B408" s="143"/>
      <c r="C408" s="120"/>
      <c r="D408" s="144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 ht="13.5" customHeight="1">
      <c r="A409" s="120"/>
      <c r="B409" s="143"/>
      <c r="C409" s="120"/>
      <c r="D409" s="144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 ht="13.5" customHeight="1">
      <c r="A410" s="120"/>
      <c r="B410" s="143"/>
      <c r="C410" s="120"/>
      <c r="D410" s="144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 ht="13.5" customHeight="1">
      <c r="A411" s="120"/>
      <c r="B411" s="143"/>
      <c r="C411" s="120"/>
      <c r="D411" s="144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 ht="13.5" customHeight="1">
      <c r="A412" s="120"/>
      <c r="B412" s="143"/>
      <c r="C412" s="120"/>
      <c r="D412" s="144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 ht="13.5" customHeight="1">
      <c r="A413" s="120"/>
      <c r="B413" s="143"/>
      <c r="C413" s="120"/>
      <c r="D413" s="144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 ht="13.5" customHeight="1">
      <c r="A414" s="120"/>
      <c r="B414" s="143"/>
      <c r="C414" s="120"/>
      <c r="D414" s="144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 ht="13.5" customHeight="1">
      <c r="A415" s="120"/>
      <c r="B415" s="143"/>
      <c r="C415" s="120"/>
      <c r="D415" s="144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 ht="13.5" customHeight="1">
      <c r="A416" s="120"/>
      <c r="B416" s="143"/>
      <c r="C416" s="120"/>
      <c r="D416" s="144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 ht="13.5" customHeight="1">
      <c r="A417" s="120"/>
      <c r="B417" s="143"/>
      <c r="C417" s="120"/>
      <c r="D417" s="144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 ht="13.5" customHeight="1">
      <c r="A418" s="120"/>
      <c r="B418" s="143"/>
      <c r="C418" s="120"/>
      <c r="D418" s="144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 ht="13.5" customHeight="1">
      <c r="A419" s="120"/>
      <c r="B419" s="143"/>
      <c r="C419" s="120"/>
      <c r="D419" s="144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 ht="13.5" customHeight="1">
      <c r="A420" s="120"/>
      <c r="B420" s="143"/>
      <c r="C420" s="120"/>
      <c r="D420" s="144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 ht="13.5" customHeight="1">
      <c r="A421" s="120"/>
      <c r="B421" s="143"/>
      <c r="C421" s="120"/>
      <c r="D421" s="144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 ht="13.5" customHeight="1">
      <c r="A422" s="120"/>
      <c r="B422" s="143"/>
      <c r="C422" s="120"/>
      <c r="D422" s="144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 ht="13.5" customHeight="1">
      <c r="A423" s="120"/>
      <c r="B423" s="143"/>
      <c r="C423" s="120"/>
      <c r="D423" s="144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 ht="13.5" customHeight="1">
      <c r="A424" s="120"/>
      <c r="B424" s="143"/>
      <c r="C424" s="120"/>
      <c r="D424" s="144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 ht="13.5" customHeight="1">
      <c r="A425" s="120"/>
      <c r="B425" s="143"/>
      <c r="C425" s="120"/>
      <c r="D425" s="144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 ht="13.5" customHeight="1">
      <c r="A426" s="120"/>
      <c r="B426" s="143"/>
      <c r="C426" s="120"/>
      <c r="D426" s="144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 ht="13.5" customHeight="1">
      <c r="A427" s="120"/>
      <c r="B427" s="143"/>
      <c r="C427" s="120"/>
      <c r="D427" s="144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 ht="13.5" customHeight="1">
      <c r="A428" s="120"/>
      <c r="B428" s="143"/>
      <c r="C428" s="120"/>
      <c r="D428" s="144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 ht="13.5" customHeight="1">
      <c r="A429" s="120"/>
      <c r="B429" s="143"/>
      <c r="C429" s="120"/>
      <c r="D429" s="144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 ht="13.5" customHeight="1">
      <c r="A430" s="120"/>
      <c r="B430" s="143"/>
      <c r="C430" s="120"/>
      <c r="D430" s="144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 ht="13.5" customHeight="1">
      <c r="A431" s="120"/>
      <c r="B431" s="143"/>
      <c r="C431" s="120"/>
      <c r="D431" s="144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 ht="13.5" customHeight="1">
      <c r="A432" s="120"/>
      <c r="B432" s="143"/>
      <c r="C432" s="120"/>
      <c r="D432" s="144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 ht="13.5" customHeight="1">
      <c r="A433" s="120"/>
      <c r="B433" s="143"/>
      <c r="C433" s="120"/>
      <c r="D433" s="144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 ht="13.5" customHeight="1">
      <c r="A434" s="120"/>
      <c r="B434" s="143"/>
      <c r="C434" s="120"/>
      <c r="D434" s="144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 ht="13.5" customHeight="1">
      <c r="A435" s="120"/>
      <c r="B435" s="143"/>
      <c r="C435" s="120"/>
      <c r="D435" s="144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 ht="13.5" customHeight="1">
      <c r="A436" s="120"/>
      <c r="B436" s="143"/>
      <c r="C436" s="120"/>
      <c r="D436" s="144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 ht="13.5" customHeight="1">
      <c r="A437" s="120"/>
      <c r="B437" s="143"/>
      <c r="C437" s="120"/>
      <c r="D437" s="144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 ht="13.5" customHeight="1">
      <c r="A438" s="120"/>
      <c r="B438" s="143"/>
      <c r="C438" s="120"/>
      <c r="D438" s="144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 ht="13.5" customHeight="1">
      <c r="A439" s="120"/>
      <c r="B439" s="143"/>
      <c r="C439" s="120"/>
      <c r="D439" s="144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 ht="13.5" customHeight="1">
      <c r="A440" s="120"/>
      <c r="B440" s="143"/>
      <c r="C440" s="120"/>
      <c r="D440" s="144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 ht="13.5" customHeight="1">
      <c r="A441" s="120"/>
      <c r="B441" s="143"/>
      <c r="C441" s="120"/>
      <c r="D441" s="144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 ht="13.5" customHeight="1">
      <c r="A442" s="120"/>
      <c r="B442" s="143"/>
      <c r="C442" s="120"/>
      <c r="D442" s="144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 ht="13.5" customHeight="1">
      <c r="A443" s="120"/>
      <c r="B443" s="143"/>
      <c r="C443" s="120"/>
      <c r="D443" s="144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 ht="13.5" customHeight="1">
      <c r="A444" s="120"/>
      <c r="B444" s="143"/>
      <c r="C444" s="120"/>
      <c r="D444" s="144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 ht="13.5" customHeight="1">
      <c r="A445" s="120"/>
      <c r="B445" s="143"/>
      <c r="C445" s="120"/>
      <c r="D445" s="144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 ht="13.5" customHeight="1">
      <c r="A446" s="120"/>
      <c r="B446" s="143"/>
      <c r="C446" s="120"/>
      <c r="D446" s="144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 ht="13.5" customHeight="1">
      <c r="A447" s="120"/>
      <c r="B447" s="143"/>
      <c r="C447" s="120"/>
      <c r="D447" s="144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 ht="13.5" customHeight="1">
      <c r="A448" s="120"/>
      <c r="B448" s="143"/>
      <c r="C448" s="120"/>
      <c r="D448" s="144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 ht="13.5" customHeight="1">
      <c r="A449" s="120"/>
      <c r="B449" s="143"/>
      <c r="C449" s="120"/>
      <c r="D449" s="144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 ht="13.5" customHeight="1">
      <c r="A450" s="120"/>
      <c r="B450" s="143"/>
      <c r="C450" s="120"/>
      <c r="D450" s="144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 ht="13.5" customHeight="1">
      <c r="A451" s="120"/>
      <c r="B451" s="143"/>
      <c r="C451" s="120"/>
      <c r="D451" s="144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 ht="13.5" customHeight="1">
      <c r="A452" s="120"/>
      <c r="B452" s="143"/>
      <c r="C452" s="120"/>
      <c r="D452" s="144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 ht="13.5" customHeight="1">
      <c r="A453" s="120"/>
      <c r="B453" s="143"/>
      <c r="C453" s="120"/>
      <c r="D453" s="144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 ht="13.5" customHeight="1">
      <c r="A454" s="120"/>
      <c r="B454" s="143"/>
      <c r="C454" s="120"/>
      <c r="D454" s="144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 ht="13.5" customHeight="1">
      <c r="A455" s="120"/>
      <c r="B455" s="143"/>
      <c r="C455" s="120"/>
      <c r="D455" s="144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 ht="13.5" customHeight="1">
      <c r="A456" s="120"/>
      <c r="B456" s="143"/>
      <c r="C456" s="120"/>
      <c r="D456" s="144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 ht="13.5" customHeight="1">
      <c r="A457" s="120"/>
      <c r="B457" s="143"/>
      <c r="C457" s="120"/>
      <c r="D457" s="144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 ht="13.5" customHeight="1">
      <c r="A458" s="120"/>
      <c r="B458" s="143"/>
      <c r="C458" s="120"/>
      <c r="D458" s="144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 ht="13.5" customHeight="1">
      <c r="A459" s="120"/>
      <c r="B459" s="143"/>
      <c r="C459" s="120"/>
      <c r="D459" s="144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 ht="13.5" customHeight="1">
      <c r="A460" s="120"/>
      <c r="B460" s="143"/>
      <c r="C460" s="120"/>
      <c r="D460" s="144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 ht="13.5" customHeight="1">
      <c r="A461" s="120"/>
      <c r="B461" s="143"/>
      <c r="C461" s="120"/>
      <c r="D461" s="144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 ht="13.5" customHeight="1">
      <c r="A462" s="120"/>
      <c r="B462" s="143"/>
      <c r="C462" s="120"/>
      <c r="D462" s="144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 ht="13.5" customHeight="1">
      <c r="A463" s="120"/>
      <c r="B463" s="143"/>
      <c r="C463" s="120"/>
      <c r="D463" s="144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 ht="13.5" customHeight="1">
      <c r="A464" s="120"/>
      <c r="B464" s="143"/>
      <c r="C464" s="120"/>
      <c r="D464" s="144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 ht="13.5" customHeight="1">
      <c r="A465" s="120"/>
      <c r="B465" s="143"/>
      <c r="C465" s="120"/>
      <c r="D465" s="144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 ht="13.5" customHeight="1">
      <c r="A466" s="120"/>
      <c r="B466" s="143"/>
      <c r="C466" s="120"/>
      <c r="D466" s="144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 ht="13.5" customHeight="1">
      <c r="A467" s="120"/>
      <c r="B467" s="143"/>
      <c r="C467" s="120"/>
      <c r="D467" s="144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 ht="13.5" customHeight="1">
      <c r="A468" s="120"/>
      <c r="B468" s="143"/>
      <c r="C468" s="120"/>
      <c r="D468" s="144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 ht="13.5" customHeight="1">
      <c r="A469" s="120"/>
      <c r="B469" s="143"/>
      <c r="C469" s="120"/>
      <c r="D469" s="144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 ht="13.5" customHeight="1">
      <c r="A470" s="120"/>
      <c r="B470" s="143"/>
      <c r="C470" s="120"/>
      <c r="D470" s="144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 ht="13.5" customHeight="1">
      <c r="A471" s="120"/>
      <c r="B471" s="143"/>
      <c r="C471" s="120"/>
      <c r="D471" s="144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 ht="13.5" customHeight="1">
      <c r="A472" s="120"/>
      <c r="B472" s="143"/>
      <c r="C472" s="120"/>
      <c r="D472" s="144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 ht="13.5" customHeight="1">
      <c r="A473" s="120"/>
      <c r="B473" s="143"/>
      <c r="C473" s="120"/>
      <c r="D473" s="144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 ht="13.5" customHeight="1">
      <c r="A474" s="120"/>
      <c r="B474" s="143"/>
      <c r="C474" s="120"/>
      <c r="D474" s="144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 ht="13.5" customHeight="1">
      <c r="A475" s="120"/>
      <c r="B475" s="143"/>
      <c r="C475" s="120"/>
      <c r="D475" s="144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 ht="13.5" customHeight="1">
      <c r="A476" s="120"/>
      <c r="B476" s="143"/>
      <c r="C476" s="120"/>
      <c r="D476" s="144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 ht="13.5" customHeight="1">
      <c r="A477" s="120"/>
      <c r="B477" s="143"/>
      <c r="C477" s="120"/>
      <c r="D477" s="144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 ht="13.5" customHeight="1">
      <c r="A478" s="120"/>
      <c r="B478" s="143"/>
      <c r="C478" s="120"/>
      <c r="D478" s="144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 ht="13.5" customHeight="1">
      <c r="A479" s="120"/>
      <c r="B479" s="143"/>
      <c r="C479" s="120"/>
      <c r="D479" s="144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 ht="13.5" customHeight="1">
      <c r="A480" s="120"/>
      <c r="B480" s="143"/>
      <c r="C480" s="120"/>
      <c r="D480" s="144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 ht="13.5" customHeight="1">
      <c r="A481" s="120"/>
      <c r="B481" s="143"/>
      <c r="C481" s="120"/>
      <c r="D481" s="144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 ht="13.5" customHeight="1">
      <c r="A482" s="120"/>
      <c r="B482" s="143"/>
      <c r="C482" s="120"/>
      <c r="D482" s="144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 ht="13.5" customHeight="1">
      <c r="A483" s="120"/>
      <c r="B483" s="143"/>
      <c r="C483" s="120"/>
      <c r="D483" s="144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 ht="13.5" customHeight="1">
      <c r="A484" s="120"/>
      <c r="B484" s="143"/>
      <c r="C484" s="120"/>
      <c r="D484" s="144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 ht="13.5" customHeight="1">
      <c r="A485" s="120"/>
      <c r="B485" s="143"/>
      <c r="C485" s="120"/>
      <c r="D485" s="144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 ht="13.5" customHeight="1">
      <c r="A486" s="120"/>
      <c r="B486" s="143"/>
      <c r="C486" s="120"/>
      <c r="D486" s="144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 ht="13.5" customHeight="1">
      <c r="A487" s="120"/>
      <c r="B487" s="143"/>
      <c r="C487" s="120"/>
      <c r="D487" s="144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 ht="13.5" customHeight="1">
      <c r="A488" s="120"/>
      <c r="B488" s="143"/>
      <c r="C488" s="120"/>
      <c r="D488" s="144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 ht="13.5" customHeight="1">
      <c r="A489" s="120"/>
      <c r="B489" s="143"/>
      <c r="C489" s="120"/>
      <c r="D489" s="144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 ht="13.5" customHeight="1">
      <c r="A490" s="120"/>
      <c r="B490" s="143"/>
      <c r="C490" s="120"/>
      <c r="D490" s="144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 ht="13.5" customHeight="1">
      <c r="A491" s="120"/>
      <c r="B491" s="143"/>
      <c r="C491" s="120"/>
      <c r="D491" s="144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 ht="13.5" customHeight="1">
      <c r="A492" s="120"/>
      <c r="B492" s="143"/>
      <c r="C492" s="120"/>
      <c r="D492" s="144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 ht="13.5" customHeight="1">
      <c r="A493" s="120"/>
      <c r="B493" s="143"/>
      <c r="C493" s="120"/>
      <c r="D493" s="144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 ht="13.5" customHeight="1">
      <c r="A494" s="120"/>
      <c r="B494" s="143"/>
      <c r="C494" s="120"/>
      <c r="D494" s="144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 ht="13.5" customHeight="1">
      <c r="A495" s="120"/>
      <c r="B495" s="143"/>
      <c r="C495" s="120"/>
      <c r="D495" s="144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 ht="13.5" customHeight="1">
      <c r="A496" s="120"/>
      <c r="B496" s="143"/>
      <c r="C496" s="120"/>
      <c r="D496" s="144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 ht="13.5" customHeight="1">
      <c r="A497" s="120"/>
      <c r="B497" s="143"/>
      <c r="C497" s="120"/>
      <c r="D497" s="144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 ht="13.5" customHeight="1">
      <c r="A498" s="120"/>
      <c r="B498" s="143"/>
      <c r="C498" s="120"/>
      <c r="D498" s="144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 ht="13.5" customHeight="1">
      <c r="A499" s="120"/>
      <c r="B499" s="143"/>
      <c r="C499" s="120"/>
      <c r="D499" s="144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 ht="13.5" customHeight="1">
      <c r="A500" s="120"/>
      <c r="B500" s="143"/>
      <c r="C500" s="120"/>
      <c r="D500" s="144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 ht="13.5" customHeight="1">
      <c r="A501" s="120"/>
      <c r="B501" s="143"/>
      <c r="C501" s="120"/>
      <c r="D501" s="144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 ht="13.5" customHeight="1">
      <c r="A502" s="120"/>
      <c r="B502" s="143"/>
      <c r="C502" s="120"/>
      <c r="D502" s="144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 ht="13.5" customHeight="1">
      <c r="A503" s="120"/>
      <c r="B503" s="143"/>
      <c r="C503" s="120"/>
      <c r="D503" s="144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 ht="13.5" customHeight="1">
      <c r="A504" s="120"/>
      <c r="B504" s="143"/>
      <c r="C504" s="120"/>
      <c r="D504" s="144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 ht="13.5" customHeight="1">
      <c r="A505" s="120"/>
      <c r="B505" s="143"/>
      <c r="C505" s="120"/>
      <c r="D505" s="144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 ht="13.5" customHeight="1">
      <c r="A506" s="120"/>
      <c r="B506" s="143"/>
      <c r="C506" s="120"/>
      <c r="D506" s="144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 ht="13.5" customHeight="1">
      <c r="A507" s="120"/>
      <c r="B507" s="143"/>
      <c r="C507" s="120"/>
      <c r="D507" s="144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 ht="13.5" customHeight="1">
      <c r="A508" s="120"/>
      <c r="B508" s="143"/>
      <c r="C508" s="120"/>
      <c r="D508" s="144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 ht="13.5" customHeight="1">
      <c r="A509" s="120"/>
      <c r="B509" s="143"/>
      <c r="C509" s="120"/>
      <c r="D509" s="144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 ht="13.5" customHeight="1">
      <c r="A510" s="120"/>
      <c r="B510" s="143"/>
      <c r="C510" s="120"/>
      <c r="D510" s="144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 ht="13.5" customHeight="1">
      <c r="A511" s="120"/>
      <c r="B511" s="143"/>
      <c r="C511" s="120"/>
      <c r="D511" s="144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 ht="13.5" customHeight="1">
      <c r="A512" s="120"/>
      <c r="B512" s="143"/>
      <c r="C512" s="120"/>
      <c r="D512" s="144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 ht="13.5" customHeight="1">
      <c r="A513" s="120"/>
      <c r="B513" s="143"/>
      <c r="C513" s="120"/>
      <c r="D513" s="144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 ht="13.5" customHeight="1">
      <c r="A514" s="120"/>
      <c r="B514" s="143"/>
      <c r="C514" s="120"/>
      <c r="D514" s="144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 ht="13.5" customHeight="1">
      <c r="A515" s="120"/>
      <c r="B515" s="143"/>
      <c r="C515" s="120"/>
      <c r="D515" s="144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 ht="13.5" customHeight="1">
      <c r="A516" s="120"/>
      <c r="B516" s="143"/>
      <c r="C516" s="120"/>
      <c r="D516" s="144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 ht="13.5" customHeight="1">
      <c r="A517" s="120"/>
      <c r="B517" s="143"/>
      <c r="C517" s="120"/>
      <c r="D517" s="144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 ht="13.5" customHeight="1">
      <c r="A518" s="120"/>
      <c r="B518" s="143"/>
      <c r="C518" s="120"/>
      <c r="D518" s="144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 ht="13.5" customHeight="1">
      <c r="A519" s="120"/>
      <c r="B519" s="143"/>
      <c r="C519" s="120"/>
      <c r="D519" s="144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 ht="13.5" customHeight="1">
      <c r="A520" s="120"/>
      <c r="B520" s="143"/>
      <c r="C520" s="120"/>
      <c r="D520" s="144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 ht="13.5" customHeight="1">
      <c r="A521" s="120"/>
      <c r="B521" s="143"/>
      <c r="C521" s="120"/>
      <c r="D521" s="144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 ht="13.5" customHeight="1">
      <c r="A522" s="120"/>
      <c r="B522" s="143"/>
      <c r="C522" s="120"/>
      <c r="D522" s="144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 ht="13.5" customHeight="1">
      <c r="A523" s="120"/>
      <c r="B523" s="143"/>
      <c r="C523" s="120"/>
      <c r="D523" s="144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 ht="13.5" customHeight="1">
      <c r="A524" s="120"/>
      <c r="B524" s="143"/>
      <c r="C524" s="120"/>
      <c r="D524" s="144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 ht="13.5" customHeight="1">
      <c r="A525" s="120"/>
      <c r="B525" s="143"/>
      <c r="C525" s="120"/>
      <c r="D525" s="144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 ht="13.5" customHeight="1">
      <c r="A526" s="120"/>
      <c r="B526" s="143"/>
      <c r="C526" s="120"/>
      <c r="D526" s="144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 ht="13.5" customHeight="1">
      <c r="A527" s="120"/>
      <c r="B527" s="143"/>
      <c r="C527" s="120"/>
      <c r="D527" s="144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 ht="13.5" customHeight="1">
      <c r="A528" s="120"/>
      <c r="B528" s="143"/>
      <c r="C528" s="120"/>
      <c r="D528" s="144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 ht="13.5" customHeight="1">
      <c r="A529" s="120"/>
      <c r="B529" s="143"/>
      <c r="C529" s="120"/>
      <c r="D529" s="144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 ht="13.5" customHeight="1">
      <c r="A530" s="120"/>
      <c r="B530" s="143"/>
      <c r="C530" s="120"/>
      <c r="D530" s="144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 ht="13.5" customHeight="1">
      <c r="A531" s="120"/>
      <c r="B531" s="143"/>
      <c r="C531" s="120"/>
      <c r="D531" s="144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 ht="13.5" customHeight="1">
      <c r="A532" s="120"/>
      <c r="B532" s="143"/>
      <c r="C532" s="120"/>
      <c r="D532" s="144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 ht="13.5" customHeight="1">
      <c r="A533" s="120"/>
      <c r="B533" s="143"/>
      <c r="C533" s="120"/>
      <c r="D533" s="144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 ht="13.5" customHeight="1">
      <c r="A534" s="120"/>
      <c r="B534" s="143"/>
      <c r="C534" s="120"/>
      <c r="D534" s="144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 ht="13.5" customHeight="1">
      <c r="A535" s="120"/>
      <c r="B535" s="143"/>
      <c r="C535" s="120"/>
      <c r="D535" s="144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 ht="13.5" customHeight="1">
      <c r="A536" s="120"/>
      <c r="B536" s="143"/>
      <c r="C536" s="120"/>
      <c r="D536" s="144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 ht="13.5" customHeight="1">
      <c r="A537" s="120"/>
      <c r="B537" s="143"/>
      <c r="C537" s="120"/>
      <c r="D537" s="144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 ht="13.5" customHeight="1">
      <c r="A538" s="120"/>
      <c r="B538" s="143"/>
      <c r="C538" s="120"/>
      <c r="D538" s="144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 ht="13.5" customHeight="1">
      <c r="A539" s="120"/>
      <c r="B539" s="143"/>
      <c r="C539" s="120"/>
      <c r="D539" s="144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 ht="13.5" customHeight="1">
      <c r="A540" s="120"/>
      <c r="B540" s="143"/>
      <c r="C540" s="120"/>
      <c r="D540" s="144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 ht="13.5" customHeight="1">
      <c r="A541" s="120"/>
      <c r="B541" s="143"/>
      <c r="C541" s="120"/>
      <c r="D541" s="144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 ht="13.5" customHeight="1">
      <c r="A542" s="120"/>
      <c r="B542" s="143"/>
      <c r="C542" s="120"/>
      <c r="D542" s="144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 ht="13.5" customHeight="1">
      <c r="A543" s="120"/>
      <c r="B543" s="143"/>
      <c r="C543" s="120"/>
      <c r="D543" s="144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 ht="13.5" customHeight="1">
      <c r="A544" s="120"/>
      <c r="B544" s="143"/>
      <c r="C544" s="120"/>
      <c r="D544" s="144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 ht="13.5" customHeight="1">
      <c r="A545" s="120"/>
      <c r="B545" s="143"/>
      <c r="C545" s="120"/>
      <c r="D545" s="144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 ht="13.5" customHeight="1">
      <c r="A546" s="120"/>
      <c r="B546" s="143"/>
      <c r="C546" s="120"/>
      <c r="D546" s="144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 ht="13.5" customHeight="1">
      <c r="A547" s="120"/>
      <c r="B547" s="143"/>
      <c r="C547" s="120"/>
      <c r="D547" s="144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 ht="13.5" customHeight="1">
      <c r="A548" s="120"/>
      <c r="B548" s="143"/>
      <c r="C548" s="120"/>
      <c r="D548" s="144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 ht="13.5" customHeight="1">
      <c r="A549" s="120"/>
      <c r="B549" s="143"/>
      <c r="C549" s="120"/>
      <c r="D549" s="144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 ht="13.5" customHeight="1">
      <c r="A550" s="120"/>
      <c r="B550" s="143"/>
      <c r="C550" s="120"/>
      <c r="D550" s="144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 ht="13.5" customHeight="1">
      <c r="A551" s="120"/>
      <c r="B551" s="143"/>
      <c r="C551" s="120"/>
      <c r="D551" s="144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 ht="13.5" customHeight="1">
      <c r="A552" s="120"/>
      <c r="B552" s="143"/>
      <c r="C552" s="120"/>
      <c r="D552" s="144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 ht="13.5" customHeight="1">
      <c r="A553" s="120"/>
      <c r="B553" s="143"/>
      <c r="C553" s="120"/>
      <c r="D553" s="144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 ht="13.5" customHeight="1">
      <c r="A554" s="120"/>
      <c r="B554" s="143"/>
      <c r="C554" s="120"/>
      <c r="D554" s="144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 ht="13.5" customHeight="1">
      <c r="A555" s="120"/>
      <c r="B555" s="143"/>
      <c r="C555" s="120"/>
      <c r="D555" s="144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 ht="13.5" customHeight="1">
      <c r="A556" s="120"/>
      <c r="B556" s="143"/>
      <c r="C556" s="120"/>
      <c r="D556" s="144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 ht="13.5" customHeight="1">
      <c r="A557" s="120"/>
      <c r="B557" s="143"/>
      <c r="C557" s="120"/>
      <c r="D557" s="144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 ht="13.5" customHeight="1">
      <c r="A558" s="120"/>
      <c r="B558" s="143"/>
      <c r="C558" s="120"/>
      <c r="D558" s="144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 ht="13.5" customHeight="1">
      <c r="A559" s="120"/>
      <c r="B559" s="143"/>
      <c r="C559" s="120"/>
      <c r="D559" s="144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 ht="13.5" customHeight="1">
      <c r="A560" s="120"/>
      <c r="B560" s="143"/>
      <c r="C560" s="120"/>
      <c r="D560" s="144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 ht="13.5" customHeight="1">
      <c r="A561" s="120"/>
      <c r="B561" s="143"/>
      <c r="C561" s="120"/>
      <c r="D561" s="144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 ht="13.5" customHeight="1">
      <c r="A562" s="120"/>
      <c r="B562" s="143"/>
      <c r="C562" s="120"/>
      <c r="D562" s="144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 ht="13.5" customHeight="1">
      <c r="A563" s="120"/>
      <c r="B563" s="143"/>
      <c r="C563" s="120"/>
      <c r="D563" s="144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 ht="13.5" customHeight="1">
      <c r="A564" s="120"/>
      <c r="B564" s="143"/>
      <c r="C564" s="120"/>
      <c r="D564" s="144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 ht="13.5" customHeight="1">
      <c r="A565" s="120"/>
      <c r="B565" s="143"/>
      <c r="C565" s="120"/>
      <c r="D565" s="144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 ht="13.5" customHeight="1">
      <c r="A566" s="120"/>
      <c r="B566" s="143"/>
      <c r="C566" s="120"/>
      <c r="D566" s="144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 ht="13.5" customHeight="1">
      <c r="A567" s="120"/>
      <c r="B567" s="143"/>
      <c r="C567" s="120"/>
      <c r="D567" s="144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 ht="13.5" customHeight="1">
      <c r="A568" s="120"/>
      <c r="B568" s="143"/>
      <c r="C568" s="120"/>
      <c r="D568" s="144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 ht="13.5" customHeight="1">
      <c r="A569" s="120"/>
      <c r="B569" s="143"/>
      <c r="C569" s="120"/>
      <c r="D569" s="144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 ht="13.5" customHeight="1">
      <c r="A570" s="120"/>
      <c r="B570" s="143"/>
      <c r="C570" s="120"/>
      <c r="D570" s="144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 ht="13.5" customHeight="1">
      <c r="A571" s="120"/>
      <c r="B571" s="143"/>
      <c r="C571" s="120"/>
      <c r="D571" s="144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 ht="13.5" customHeight="1">
      <c r="A572" s="120"/>
      <c r="B572" s="143"/>
      <c r="C572" s="120"/>
      <c r="D572" s="144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 ht="13.5" customHeight="1">
      <c r="A573" s="120"/>
      <c r="B573" s="143"/>
      <c r="C573" s="120"/>
      <c r="D573" s="144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 ht="13.5" customHeight="1">
      <c r="A574" s="120"/>
      <c r="B574" s="143"/>
      <c r="C574" s="120"/>
      <c r="D574" s="144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 ht="13.5" customHeight="1">
      <c r="A575" s="120"/>
      <c r="B575" s="143"/>
      <c r="C575" s="120"/>
      <c r="D575" s="144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 ht="13.5" customHeight="1">
      <c r="A576" s="120"/>
      <c r="B576" s="143"/>
      <c r="C576" s="120"/>
      <c r="D576" s="144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 ht="13.5" customHeight="1">
      <c r="A577" s="120"/>
      <c r="B577" s="143"/>
      <c r="C577" s="120"/>
      <c r="D577" s="144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 ht="13.5" customHeight="1">
      <c r="A578" s="120"/>
      <c r="B578" s="143"/>
      <c r="C578" s="120"/>
      <c r="D578" s="144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 ht="13.5" customHeight="1">
      <c r="A579" s="120"/>
      <c r="B579" s="143"/>
      <c r="C579" s="120"/>
      <c r="D579" s="144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 ht="13.5" customHeight="1">
      <c r="A580" s="120"/>
      <c r="B580" s="143"/>
      <c r="C580" s="120"/>
      <c r="D580" s="144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 ht="13.5" customHeight="1">
      <c r="A581" s="120"/>
      <c r="B581" s="143"/>
      <c r="C581" s="120"/>
      <c r="D581" s="144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 ht="13.5" customHeight="1">
      <c r="A582" s="120"/>
      <c r="B582" s="143"/>
      <c r="C582" s="120"/>
      <c r="D582" s="144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 ht="13.5" customHeight="1">
      <c r="A583" s="120"/>
      <c r="B583" s="143"/>
      <c r="C583" s="120"/>
      <c r="D583" s="144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 ht="13.5" customHeight="1">
      <c r="A584" s="120"/>
      <c r="B584" s="143"/>
      <c r="C584" s="120"/>
      <c r="D584" s="144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 ht="13.5" customHeight="1">
      <c r="A585" s="120"/>
      <c r="B585" s="143"/>
      <c r="C585" s="120"/>
      <c r="D585" s="144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 ht="13.5" customHeight="1">
      <c r="A586" s="120"/>
      <c r="B586" s="143"/>
      <c r="C586" s="120"/>
      <c r="D586" s="144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 ht="13.5" customHeight="1">
      <c r="A587" s="120"/>
      <c r="B587" s="143"/>
      <c r="C587" s="120"/>
      <c r="D587" s="144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 ht="13.5" customHeight="1">
      <c r="A588" s="120"/>
      <c r="B588" s="143"/>
      <c r="C588" s="120"/>
      <c r="D588" s="144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 ht="13.5" customHeight="1">
      <c r="A589" s="120"/>
      <c r="B589" s="143"/>
      <c r="C589" s="120"/>
      <c r="D589" s="144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 ht="13.5" customHeight="1">
      <c r="A590" s="120"/>
      <c r="B590" s="143"/>
      <c r="C590" s="120"/>
      <c r="D590" s="144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 ht="13.5" customHeight="1">
      <c r="A591" s="120"/>
      <c r="B591" s="143"/>
      <c r="C591" s="120"/>
      <c r="D591" s="144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 ht="13.5" customHeight="1">
      <c r="A592" s="120"/>
      <c r="B592" s="143"/>
      <c r="C592" s="120"/>
      <c r="D592" s="144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 ht="13.5" customHeight="1">
      <c r="A593" s="120"/>
      <c r="B593" s="143"/>
      <c r="C593" s="120"/>
      <c r="D593" s="144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 ht="13.5" customHeight="1">
      <c r="A594" s="120"/>
      <c r="B594" s="143"/>
      <c r="C594" s="120"/>
      <c r="D594" s="144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 ht="13.5" customHeight="1">
      <c r="A595" s="120"/>
      <c r="B595" s="143"/>
      <c r="C595" s="120"/>
      <c r="D595" s="144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 ht="13.5" customHeight="1">
      <c r="A596" s="120"/>
      <c r="B596" s="143"/>
      <c r="C596" s="120"/>
      <c r="D596" s="144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 ht="13.5" customHeight="1">
      <c r="A597" s="120"/>
      <c r="B597" s="143"/>
      <c r="C597" s="120"/>
      <c r="D597" s="144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 ht="13.5" customHeight="1">
      <c r="A598" s="120"/>
      <c r="B598" s="143"/>
      <c r="C598" s="120"/>
      <c r="D598" s="144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 ht="13.5" customHeight="1">
      <c r="A599" s="120"/>
      <c r="B599" s="143"/>
      <c r="C599" s="120"/>
      <c r="D599" s="144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 ht="13.5" customHeight="1">
      <c r="A600" s="120"/>
      <c r="B600" s="143"/>
      <c r="C600" s="120"/>
      <c r="D600" s="144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 ht="13.5" customHeight="1">
      <c r="A601" s="120"/>
      <c r="B601" s="143"/>
      <c r="C601" s="120"/>
      <c r="D601" s="144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 ht="13.5" customHeight="1">
      <c r="A602" s="120"/>
      <c r="B602" s="143"/>
      <c r="C602" s="120"/>
      <c r="D602" s="144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 ht="13.5" customHeight="1">
      <c r="A603" s="120"/>
      <c r="B603" s="143"/>
      <c r="C603" s="120"/>
      <c r="D603" s="144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 ht="13.5" customHeight="1">
      <c r="A604" s="120"/>
      <c r="B604" s="143"/>
      <c r="C604" s="120"/>
      <c r="D604" s="144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 ht="13.5" customHeight="1">
      <c r="A605" s="120"/>
      <c r="B605" s="143"/>
      <c r="C605" s="120"/>
      <c r="D605" s="144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 ht="13.5" customHeight="1">
      <c r="A606" s="120"/>
      <c r="B606" s="143"/>
      <c r="C606" s="120"/>
      <c r="D606" s="144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 ht="13.5" customHeight="1">
      <c r="A607" s="120"/>
      <c r="B607" s="143"/>
      <c r="C607" s="120"/>
      <c r="D607" s="144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 ht="13.5" customHeight="1">
      <c r="A608" s="120"/>
      <c r="B608" s="143"/>
      <c r="C608" s="120"/>
      <c r="D608" s="144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 ht="13.5" customHeight="1">
      <c r="A609" s="120"/>
      <c r="B609" s="143"/>
      <c r="C609" s="120"/>
      <c r="D609" s="144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 ht="13.5" customHeight="1">
      <c r="A610" s="120"/>
      <c r="B610" s="143"/>
      <c r="C610" s="120"/>
      <c r="D610" s="144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 ht="13.5" customHeight="1">
      <c r="A611" s="120"/>
      <c r="B611" s="143"/>
      <c r="C611" s="120"/>
      <c r="D611" s="144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 ht="13.5" customHeight="1">
      <c r="A612" s="120"/>
      <c r="B612" s="143"/>
      <c r="C612" s="120"/>
      <c r="D612" s="144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 ht="13.5" customHeight="1">
      <c r="A613" s="120"/>
      <c r="B613" s="143"/>
      <c r="C613" s="120"/>
      <c r="D613" s="144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 ht="13.5" customHeight="1">
      <c r="A614" s="120"/>
      <c r="B614" s="143"/>
      <c r="C614" s="120"/>
      <c r="D614" s="144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 ht="13.5" customHeight="1">
      <c r="A615" s="120"/>
      <c r="B615" s="143"/>
      <c r="C615" s="120"/>
      <c r="D615" s="144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 ht="13.5" customHeight="1">
      <c r="A616" s="120"/>
      <c r="B616" s="143"/>
      <c r="C616" s="120"/>
      <c r="D616" s="144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 ht="13.5" customHeight="1">
      <c r="A617" s="120"/>
      <c r="B617" s="143"/>
      <c r="C617" s="120"/>
      <c r="D617" s="144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 ht="13.5" customHeight="1">
      <c r="A618" s="120"/>
      <c r="B618" s="143"/>
      <c r="C618" s="120"/>
      <c r="D618" s="144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 ht="13.5" customHeight="1">
      <c r="A619" s="120"/>
      <c r="B619" s="143"/>
      <c r="C619" s="120"/>
      <c r="D619" s="144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 ht="13.5" customHeight="1">
      <c r="A620" s="120"/>
      <c r="B620" s="143"/>
      <c r="C620" s="120"/>
      <c r="D620" s="144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 ht="13.5" customHeight="1">
      <c r="A621" s="120"/>
      <c r="B621" s="143"/>
      <c r="C621" s="120"/>
      <c r="D621" s="144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 ht="13.5" customHeight="1">
      <c r="A622" s="120"/>
      <c r="B622" s="143"/>
      <c r="C622" s="120"/>
      <c r="D622" s="144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 ht="13.5" customHeight="1">
      <c r="A623" s="120"/>
      <c r="B623" s="143"/>
      <c r="C623" s="120"/>
      <c r="D623" s="144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 ht="13.5" customHeight="1">
      <c r="A624" s="120"/>
      <c r="B624" s="143"/>
      <c r="C624" s="120"/>
      <c r="D624" s="144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 ht="13.5" customHeight="1">
      <c r="A625" s="120"/>
      <c r="B625" s="143"/>
      <c r="C625" s="120"/>
      <c r="D625" s="144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 ht="13.5" customHeight="1">
      <c r="A626" s="120"/>
      <c r="B626" s="143"/>
      <c r="C626" s="120"/>
      <c r="D626" s="144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 ht="13.5" customHeight="1">
      <c r="A627" s="120"/>
      <c r="B627" s="143"/>
      <c r="C627" s="120"/>
      <c r="D627" s="144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 ht="13.5" customHeight="1">
      <c r="A628" s="120"/>
      <c r="B628" s="143"/>
      <c r="C628" s="120"/>
      <c r="D628" s="144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 ht="13.5" customHeight="1">
      <c r="A629" s="120"/>
      <c r="B629" s="143"/>
      <c r="C629" s="120"/>
      <c r="D629" s="144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 ht="13.5" customHeight="1">
      <c r="A630" s="120"/>
      <c r="B630" s="143"/>
      <c r="C630" s="120"/>
      <c r="D630" s="144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 ht="13.5" customHeight="1">
      <c r="A631" s="120"/>
      <c r="B631" s="143"/>
      <c r="C631" s="120"/>
      <c r="D631" s="144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 ht="13.5" customHeight="1">
      <c r="A632" s="120"/>
      <c r="B632" s="143"/>
      <c r="C632" s="120"/>
      <c r="D632" s="144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 ht="13.5" customHeight="1">
      <c r="A633" s="120"/>
      <c r="B633" s="143"/>
      <c r="C633" s="120"/>
      <c r="D633" s="144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 ht="13.5" customHeight="1">
      <c r="A634" s="120"/>
      <c r="B634" s="143"/>
      <c r="C634" s="120"/>
      <c r="D634" s="144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 ht="13.5" customHeight="1">
      <c r="A635" s="120"/>
      <c r="B635" s="143"/>
      <c r="C635" s="120"/>
      <c r="D635" s="144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 ht="13.5" customHeight="1">
      <c r="A636" s="120"/>
      <c r="B636" s="143"/>
      <c r="C636" s="120"/>
      <c r="D636" s="144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 ht="13.5" customHeight="1">
      <c r="A637" s="120"/>
      <c r="B637" s="143"/>
      <c r="C637" s="120"/>
      <c r="D637" s="144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 ht="13.5" customHeight="1">
      <c r="A638" s="120"/>
      <c r="B638" s="143"/>
      <c r="C638" s="120"/>
      <c r="D638" s="144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 ht="13.5" customHeight="1">
      <c r="A639" s="120"/>
      <c r="B639" s="143"/>
      <c r="C639" s="120"/>
      <c r="D639" s="144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 ht="13.5" customHeight="1">
      <c r="A640" s="120"/>
      <c r="B640" s="143"/>
      <c r="C640" s="120"/>
      <c r="D640" s="144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 ht="13.5" customHeight="1">
      <c r="A641" s="120"/>
      <c r="B641" s="143"/>
      <c r="C641" s="120"/>
      <c r="D641" s="144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 ht="13.5" customHeight="1">
      <c r="A642" s="120"/>
      <c r="B642" s="143"/>
      <c r="C642" s="120"/>
      <c r="D642" s="144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 ht="13.5" customHeight="1">
      <c r="A643" s="120"/>
      <c r="B643" s="143"/>
      <c r="C643" s="120"/>
      <c r="D643" s="144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 ht="13.5" customHeight="1">
      <c r="A644" s="120"/>
      <c r="B644" s="143"/>
      <c r="C644" s="120"/>
      <c r="D644" s="144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 ht="13.5" customHeight="1">
      <c r="A645" s="120"/>
      <c r="B645" s="143"/>
      <c r="C645" s="120"/>
      <c r="D645" s="144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 ht="13.5" customHeight="1">
      <c r="A646" s="120"/>
      <c r="B646" s="143"/>
      <c r="C646" s="120"/>
      <c r="D646" s="144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 ht="13.5" customHeight="1">
      <c r="A647" s="120"/>
      <c r="B647" s="143"/>
      <c r="C647" s="120"/>
      <c r="D647" s="144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 ht="13.5" customHeight="1">
      <c r="A648" s="120"/>
      <c r="B648" s="143"/>
      <c r="C648" s="120"/>
      <c r="D648" s="144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 ht="13.5" customHeight="1">
      <c r="A649" s="120"/>
      <c r="B649" s="143"/>
      <c r="C649" s="120"/>
      <c r="D649" s="144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 ht="13.5" customHeight="1">
      <c r="A650" s="120"/>
      <c r="B650" s="143"/>
      <c r="C650" s="120"/>
      <c r="D650" s="144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 ht="13.5" customHeight="1">
      <c r="A651" s="120"/>
      <c r="B651" s="143"/>
      <c r="C651" s="120"/>
      <c r="D651" s="144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 ht="13.5" customHeight="1">
      <c r="A652" s="120"/>
      <c r="B652" s="143"/>
      <c r="C652" s="120"/>
      <c r="D652" s="144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 ht="13.5" customHeight="1">
      <c r="A653" s="120"/>
      <c r="B653" s="143"/>
      <c r="C653" s="120"/>
      <c r="D653" s="144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 ht="13.5" customHeight="1">
      <c r="A654" s="120"/>
      <c r="B654" s="143"/>
      <c r="C654" s="120"/>
      <c r="D654" s="144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 ht="13.5" customHeight="1">
      <c r="A655" s="120"/>
      <c r="B655" s="143"/>
      <c r="C655" s="120"/>
      <c r="D655" s="144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 ht="13.5" customHeight="1">
      <c r="A656" s="120"/>
      <c r="B656" s="143"/>
      <c r="C656" s="120"/>
      <c r="D656" s="144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 ht="13.5" customHeight="1">
      <c r="A657" s="120"/>
      <c r="B657" s="143"/>
      <c r="C657" s="120"/>
      <c r="D657" s="144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 ht="13.5" customHeight="1">
      <c r="A658" s="120"/>
      <c r="B658" s="143"/>
      <c r="C658" s="120"/>
      <c r="D658" s="144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 ht="13.5" customHeight="1">
      <c r="A659" s="120"/>
      <c r="B659" s="143"/>
      <c r="C659" s="120"/>
      <c r="D659" s="144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 ht="13.5" customHeight="1">
      <c r="A660" s="120"/>
      <c r="B660" s="143"/>
      <c r="C660" s="120"/>
      <c r="D660" s="144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 ht="13.5" customHeight="1">
      <c r="A661" s="120"/>
      <c r="B661" s="143"/>
      <c r="C661" s="120"/>
      <c r="D661" s="144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 ht="13.5" customHeight="1">
      <c r="A662" s="120"/>
      <c r="B662" s="143"/>
      <c r="C662" s="120"/>
      <c r="D662" s="144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 ht="13.5" customHeight="1">
      <c r="A663" s="120"/>
      <c r="B663" s="143"/>
      <c r="C663" s="120"/>
      <c r="D663" s="144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 ht="13.5" customHeight="1">
      <c r="A664" s="120"/>
      <c r="B664" s="143"/>
      <c r="C664" s="120"/>
      <c r="D664" s="144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 ht="13.5" customHeight="1">
      <c r="A665" s="120"/>
      <c r="B665" s="143"/>
      <c r="C665" s="120"/>
      <c r="D665" s="144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 ht="13.5" customHeight="1">
      <c r="A666" s="120"/>
      <c r="B666" s="143"/>
      <c r="C666" s="120"/>
      <c r="D666" s="144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 ht="13.5" customHeight="1">
      <c r="A667" s="120"/>
      <c r="B667" s="143"/>
      <c r="C667" s="120"/>
      <c r="D667" s="144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 ht="13.5" customHeight="1">
      <c r="A668" s="120"/>
      <c r="B668" s="143"/>
      <c r="C668" s="120"/>
      <c r="D668" s="144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 ht="13.5" customHeight="1">
      <c r="A669" s="120"/>
      <c r="B669" s="143"/>
      <c r="C669" s="120"/>
      <c r="D669" s="144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 ht="13.5" customHeight="1">
      <c r="A670" s="120"/>
      <c r="B670" s="143"/>
      <c r="C670" s="120"/>
      <c r="D670" s="144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 ht="13.5" customHeight="1">
      <c r="A671" s="120"/>
      <c r="B671" s="143"/>
      <c r="C671" s="120"/>
      <c r="D671" s="144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 ht="13.5" customHeight="1">
      <c r="A672" s="120"/>
      <c r="B672" s="143"/>
      <c r="C672" s="120"/>
      <c r="D672" s="144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 ht="13.5" customHeight="1">
      <c r="A673" s="120"/>
      <c r="B673" s="143"/>
      <c r="C673" s="120"/>
      <c r="D673" s="144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 ht="13.5" customHeight="1">
      <c r="A674" s="120"/>
      <c r="B674" s="143"/>
      <c r="C674" s="120"/>
      <c r="D674" s="144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 ht="13.5" customHeight="1">
      <c r="A675" s="120"/>
      <c r="B675" s="143"/>
      <c r="C675" s="120"/>
      <c r="D675" s="144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 ht="13.5" customHeight="1">
      <c r="A676" s="120"/>
      <c r="B676" s="143"/>
      <c r="C676" s="120"/>
      <c r="D676" s="144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 ht="13.5" customHeight="1">
      <c r="A677" s="120"/>
      <c r="B677" s="143"/>
      <c r="C677" s="120"/>
      <c r="D677" s="144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 ht="13.5" customHeight="1">
      <c r="A678" s="120"/>
      <c r="B678" s="143"/>
      <c r="C678" s="120"/>
      <c r="D678" s="144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 ht="13.5" customHeight="1">
      <c r="A679" s="120"/>
      <c r="B679" s="143"/>
      <c r="C679" s="120"/>
      <c r="D679" s="144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 ht="13.5" customHeight="1">
      <c r="A680" s="120"/>
      <c r="B680" s="143"/>
      <c r="C680" s="120"/>
      <c r="D680" s="144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 ht="13.5" customHeight="1">
      <c r="A681" s="120"/>
      <c r="B681" s="143"/>
      <c r="C681" s="120"/>
      <c r="D681" s="144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 ht="13.5" customHeight="1">
      <c r="A682" s="120"/>
      <c r="B682" s="143"/>
      <c r="C682" s="120"/>
      <c r="D682" s="144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 ht="13.5" customHeight="1">
      <c r="A683" s="120"/>
      <c r="B683" s="143"/>
      <c r="C683" s="120"/>
      <c r="D683" s="144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 ht="13.5" customHeight="1">
      <c r="A684" s="120"/>
      <c r="B684" s="143"/>
      <c r="C684" s="120"/>
      <c r="D684" s="144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 ht="13.5" customHeight="1">
      <c r="A685" s="120"/>
      <c r="B685" s="143"/>
      <c r="C685" s="120"/>
      <c r="D685" s="144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 ht="13.5" customHeight="1">
      <c r="A686" s="120"/>
      <c r="B686" s="143"/>
      <c r="C686" s="120"/>
      <c r="D686" s="144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 ht="13.5" customHeight="1">
      <c r="A687" s="120"/>
      <c r="B687" s="143"/>
      <c r="C687" s="120"/>
      <c r="D687" s="144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 ht="13.5" customHeight="1">
      <c r="A688" s="120"/>
      <c r="B688" s="143"/>
      <c r="C688" s="120"/>
      <c r="D688" s="144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 ht="13.5" customHeight="1">
      <c r="A689" s="120"/>
      <c r="B689" s="143"/>
      <c r="C689" s="120"/>
      <c r="D689" s="144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 ht="13.5" customHeight="1">
      <c r="A690" s="120"/>
      <c r="B690" s="143"/>
      <c r="C690" s="120"/>
      <c r="D690" s="144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 ht="13.5" customHeight="1">
      <c r="A691" s="120"/>
      <c r="B691" s="143"/>
      <c r="C691" s="120"/>
      <c r="D691" s="144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 ht="13.5" customHeight="1">
      <c r="A692" s="120"/>
      <c r="B692" s="143"/>
      <c r="C692" s="120"/>
      <c r="D692" s="144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 ht="13.5" customHeight="1">
      <c r="A693" s="120"/>
      <c r="B693" s="143"/>
      <c r="C693" s="120"/>
      <c r="D693" s="144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 ht="13.5" customHeight="1">
      <c r="A694" s="120"/>
      <c r="B694" s="143"/>
      <c r="C694" s="120"/>
      <c r="D694" s="144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 ht="13.5" customHeight="1">
      <c r="A695" s="120"/>
      <c r="B695" s="143"/>
      <c r="C695" s="120"/>
      <c r="D695" s="144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 ht="13.5" customHeight="1">
      <c r="A696" s="120"/>
      <c r="B696" s="143"/>
      <c r="C696" s="120"/>
      <c r="D696" s="144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 ht="13.5" customHeight="1">
      <c r="A697" s="120"/>
      <c r="B697" s="143"/>
      <c r="C697" s="120"/>
      <c r="D697" s="144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 ht="13.5" customHeight="1">
      <c r="A698" s="120"/>
      <c r="B698" s="143"/>
      <c r="C698" s="120"/>
      <c r="D698" s="144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 ht="13.5" customHeight="1">
      <c r="A699" s="120"/>
      <c r="B699" s="143"/>
      <c r="C699" s="120"/>
      <c r="D699" s="144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 ht="13.5" customHeight="1">
      <c r="A700" s="120"/>
      <c r="B700" s="143"/>
      <c r="C700" s="120"/>
      <c r="D700" s="144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 ht="13.5" customHeight="1">
      <c r="A701" s="120"/>
      <c r="B701" s="143"/>
      <c r="C701" s="120"/>
      <c r="D701" s="144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 ht="13.5" customHeight="1">
      <c r="A702" s="120"/>
      <c r="B702" s="143"/>
      <c r="C702" s="120"/>
      <c r="D702" s="144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 ht="13.5" customHeight="1">
      <c r="A703" s="120"/>
      <c r="B703" s="143"/>
      <c r="C703" s="120"/>
      <c r="D703" s="144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</row>
    <row r="704" ht="13.5" customHeight="1">
      <c r="A704" s="120"/>
      <c r="B704" s="143"/>
      <c r="C704" s="120"/>
      <c r="D704" s="144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</row>
    <row r="705" ht="13.5" customHeight="1">
      <c r="A705" s="120"/>
      <c r="B705" s="143"/>
      <c r="C705" s="120"/>
      <c r="D705" s="144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</row>
    <row r="706" ht="13.5" customHeight="1">
      <c r="A706" s="120"/>
      <c r="B706" s="143"/>
      <c r="C706" s="120"/>
      <c r="D706" s="144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</row>
    <row r="707" ht="13.5" customHeight="1">
      <c r="A707" s="120"/>
      <c r="B707" s="143"/>
      <c r="C707" s="120"/>
      <c r="D707" s="144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</row>
    <row r="708" ht="13.5" customHeight="1">
      <c r="A708" s="120"/>
      <c r="B708" s="143"/>
      <c r="C708" s="120"/>
      <c r="D708" s="144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</row>
    <row r="709" ht="13.5" customHeight="1">
      <c r="A709" s="120"/>
      <c r="B709" s="143"/>
      <c r="C709" s="120"/>
      <c r="D709" s="144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</row>
    <row r="710" ht="13.5" customHeight="1">
      <c r="A710" s="120"/>
      <c r="B710" s="143"/>
      <c r="C710" s="120"/>
      <c r="D710" s="144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</row>
    <row r="711" ht="13.5" customHeight="1">
      <c r="A711" s="120"/>
      <c r="B711" s="143"/>
      <c r="C711" s="120"/>
      <c r="D711" s="144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</row>
    <row r="712" ht="13.5" customHeight="1">
      <c r="A712" s="120"/>
      <c r="B712" s="143"/>
      <c r="C712" s="120"/>
      <c r="D712" s="144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</row>
    <row r="713" ht="13.5" customHeight="1">
      <c r="A713" s="120"/>
      <c r="B713" s="143"/>
      <c r="C713" s="120"/>
      <c r="D713" s="144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</row>
    <row r="714" ht="13.5" customHeight="1">
      <c r="A714" s="120"/>
      <c r="B714" s="143"/>
      <c r="C714" s="120"/>
      <c r="D714" s="144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</row>
    <row r="715" ht="13.5" customHeight="1">
      <c r="A715" s="120"/>
      <c r="B715" s="143"/>
      <c r="C715" s="120"/>
      <c r="D715" s="144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</row>
    <row r="716" ht="13.5" customHeight="1">
      <c r="A716" s="120"/>
      <c r="B716" s="143"/>
      <c r="C716" s="120"/>
      <c r="D716" s="144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</row>
    <row r="717" ht="13.5" customHeight="1">
      <c r="A717" s="120"/>
      <c r="B717" s="143"/>
      <c r="C717" s="120"/>
      <c r="D717" s="144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</row>
    <row r="718" ht="13.5" customHeight="1">
      <c r="A718" s="120"/>
      <c r="B718" s="143"/>
      <c r="C718" s="120"/>
      <c r="D718" s="144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</row>
    <row r="719" ht="13.5" customHeight="1">
      <c r="A719" s="120"/>
      <c r="B719" s="143"/>
      <c r="C719" s="120"/>
      <c r="D719" s="144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</row>
    <row r="720" ht="13.5" customHeight="1">
      <c r="A720" s="120"/>
      <c r="B720" s="143"/>
      <c r="C720" s="120"/>
      <c r="D720" s="144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</row>
    <row r="721" ht="13.5" customHeight="1">
      <c r="A721" s="120"/>
      <c r="B721" s="143"/>
      <c r="C721" s="120"/>
      <c r="D721" s="144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</row>
    <row r="722" ht="13.5" customHeight="1">
      <c r="A722" s="120"/>
      <c r="B722" s="143"/>
      <c r="C722" s="120"/>
      <c r="D722" s="144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</row>
    <row r="723" ht="13.5" customHeight="1">
      <c r="A723" s="120"/>
      <c r="B723" s="143"/>
      <c r="C723" s="120"/>
      <c r="D723" s="144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</row>
    <row r="724" ht="13.5" customHeight="1">
      <c r="A724" s="120"/>
      <c r="B724" s="143"/>
      <c r="C724" s="120"/>
      <c r="D724" s="144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</row>
    <row r="725" ht="13.5" customHeight="1">
      <c r="A725" s="120"/>
      <c r="B725" s="143"/>
      <c r="C725" s="120"/>
      <c r="D725" s="144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</row>
    <row r="726" ht="13.5" customHeight="1">
      <c r="A726" s="120"/>
      <c r="B726" s="143"/>
      <c r="C726" s="120"/>
      <c r="D726" s="144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</row>
    <row r="727" ht="13.5" customHeight="1">
      <c r="A727" s="120"/>
      <c r="B727" s="143"/>
      <c r="C727" s="120"/>
      <c r="D727" s="144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</row>
    <row r="728" ht="13.5" customHeight="1">
      <c r="A728" s="120"/>
      <c r="B728" s="143"/>
      <c r="C728" s="120"/>
      <c r="D728" s="144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</row>
    <row r="729" ht="13.5" customHeight="1">
      <c r="A729" s="120"/>
      <c r="B729" s="143"/>
      <c r="C729" s="120"/>
      <c r="D729" s="144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</row>
    <row r="730" ht="13.5" customHeight="1">
      <c r="A730" s="120"/>
      <c r="B730" s="143"/>
      <c r="C730" s="120"/>
      <c r="D730" s="144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 ht="13.5" customHeight="1">
      <c r="A731" s="120"/>
      <c r="B731" s="143"/>
      <c r="C731" s="120"/>
      <c r="D731" s="144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 ht="13.5" customHeight="1">
      <c r="A732" s="120"/>
      <c r="B732" s="143"/>
      <c r="C732" s="120"/>
      <c r="D732" s="144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 ht="13.5" customHeight="1">
      <c r="A733" s="120"/>
      <c r="B733" s="143"/>
      <c r="C733" s="120"/>
      <c r="D733" s="144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 ht="13.5" customHeight="1">
      <c r="A734" s="120"/>
      <c r="B734" s="143"/>
      <c r="C734" s="120"/>
      <c r="D734" s="144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 ht="13.5" customHeight="1">
      <c r="A735" s="120"/>
      <c r="B735" s="143"/>
      <c r="C735" s="120"/>
      <c r="D735" s="144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 ht="13.5" customHeight="1">
      <c r="A736" s="120"/>
      <c r="B736" s="143"/>
      <c r="C736" s="120"/>
      <c r="D736" s="144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 ht="13.5" customHeight="1">
      <c r="A737" s="120"/>
      <c r="B737" s="143"/>
      <c r="C737" s="120"/>
      <c r="D737" s="144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 ht="13.5" customHeight="1">
      <c r="A738" s="120"/>
      <c r="B738" s="143"/>
      <c r="C738" s="120"/>
      <c r="D738" s="144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 ht="13.5" customHeight="1">
      <c r="A739" s="120"/>
      <c r="B739" s="143"/>
      <c r="C739" s="120"/>
      <c r="D739" s="144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 ht="13.5" customHeight="1">
      <c r="A740" s="120"/>
      <c r="B740" s="143"/>
      <c r="C740" s="120"/>
      <c r="D740" s="144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 ht="13.5" customHeight="1">
      <c r="A741" s="120"/>
      <c r="B741" s="143"/>
      <c r="C741" s="120"/>
      <c r="D741" s="144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 ht="13.5" customHeight="1">
      <c r="A742" s="120"/>
      <c r="B742" s="143"/>
      <c r="C742" s="120"/>
      <c r="D742" s="144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 ht="13.5" customHeight="1">
      <c r="A743" s="120"/>
      <c r="B743" s="143"/>
      <c r="C743" s="120"/>
      <c r="D743" s="144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 ht="13.5" customHeight="1">
      <c r="A744" s="120"/>
      <c r="B744" s="143"/>
      <c r="C744" s="120"/>
      <c r="D744" s="144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 ht="13.5" customHeight="1">
      <c r="A745" s="120"/>
      <c r="B745" s="143"/>
      <c r="C745" s="120"/>
      <c r="D745" s="144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 ht="13.5" customHeight="1">
      <c r="A746" s="120"/>
      <c r="B746" s="143"/>
      <c r="C746" s="120"/>
      <c r="D746" s="144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 ht="13.5" customHeight="1">
      <c r="A747" s="120"/>
      <c r="B747" s="143"/>
      <c r="C747" s="120"/>
      <c r="D747" s="144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 ht="13.5" customHeight="1">
      <c r="A748" s="120"/>
      <c r="B748" s="143"/>
      <c r="C748" s="120"/>
      <c r="D748" s="144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 ht="13.5" customHeight="1">
      <c r="A749" s="120"/>
      <c r="B749" s="143"/>
      <c r="C749" s="120"/>
      <c r="D749" s="144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 ht="13.5" customHeight="1">
      <c r="A750" s="120"/>
      <c r="B750" s="143"/>
      <c r="C750" s="120"/>
      <c r="D750" s="144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 ht="13.5" customHeight="1">
      <c r="A751" s="120"/>
      <c r="B751" s="143"/>
      <c r="C751" s="120"/>
      <c r="D751" s="144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 ht="13.5" customHeight="1">
      <c r="A752" s="120"/>
      <c r="B752" s="143"/>
      <c r="C752" s="120"/>
      <c r="D752" s="144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 ht="13.5" customHeight="1">
      <c r="A753" s="120"/>
      <c r="B753" s="143"/>
      <c r="C753" s="120"/>
      <c r="D753" s="144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 ht="13.5" customHeight="1">
      <c r="A754" s="120"/>
      <c r="B754" s="143"/>
      <c r="C754" s="120"/>
      <c r="D754" s="144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 ht="13.5" customHeight="1">
      <c r="A755" s="120"/>
      <c r="B755" s="143"/>
      <c r="C755" s="120"/>
      <c r="D755" s="144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 ht="13.5" customHeight="1">
      <c r="A756" s="120"/>
      <c r="B756" s="143"/>
      <c r="C756" s="120"/>
      <c r="D756" s="144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 ht="13.5" customHeight="1">
      <c r="A757" s="120"/>
      <c r="B757" s="143"/>
      <c r="C757" s="120"/>
      <c r="D757" s="144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 ht="13.5" customHeight="1">
      <c r="A758" s="120"/>
      <c r="B758" s="143"/>
      <c r="C758" s="120"/>
      <c r="D758" s="144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 ht="13.5" customHeight="1">
      <c r="A759" s="120"/>
      <c r="B759" s="143"/>
      <c r="C759" s="120"/>
      <c r="D759" s="144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 ht="13.5" customHeight="1">
      <c r="A760" s="120"/>
      <c r="B760" s="143"/>
      <c r="C760" s="120"/>
      <c r="D760" s="144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 ht="13.5" customHeight="1">
      <c r="A761" s="120"/>
      <c r="B761" s="143"/>
      <c r="C761" s="120"/>
      <c r="D761" s="144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 ht="13.5" customHeight="1">
      <c r="A762" s="120"/>
      <c r="B762" s="143"/>
      <c r="C762" s="120"/>
      <c r="D762" s="144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 ht="13.5" customHeight="1">
      <c r="A763" s="120"/>
      <c r="B763" s="143"/>
      <c r="C763" s="120"/>
      <c r="D763" s="144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 ht="13.5" customHeight="1">
      <c r="A764" s="120"/>
      <c r="B764" s="143"/>
      <c r="C764" s="120"/>
      <c r="D764" s="144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 ht="13.5" customHeight="1">
      <c r="A765" s="120"/>
      <c r="B765" s="143"/>
      <c r="C765" s="120"/>
      <c r="D765" s="144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 ht="13.5" customHeight="1">
      <c r="A766" s="120"/>
      <c r="B766" s="143"/>
      <c r="C766" s="120"/>
      <c r="D766" s="144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 ht="13.5" customHeight="1">
      <c r="A767" s="120"/>
      <c r="B767" s="143"/>
      <c r="C767" s="120"/>
      <c r="D767" s="144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 ht="13.5" customHeight="1">
      <c r="A768" s="120"/>
      <c r="B768" s="143"/>
      <c r="C768" s="120"/>
      <c r="D768" s="144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 ht="13.5" customHeight="1">
      <c r="A769" s="120"/>
      <c r="B769" s="143"/>
      <c r="C769" s="120"/>
      <c r="D769" s="144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 ht="13.5" customHeight="1">
      <c r="A770" s="120"/>
      <c r="B770" s="143"/>
      <c r="C770" s="120"/>
      <c r="D770" s="144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 ht="13.5" customHeight="1">
      <c r="A771" s="120"/>
      <c r="B771" s="143"/>
      <c r="C771" s="120"/>
      <c r="D771" s="144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 ht="13.5" customHeight="1">
      <c r="A772" s="120"/>
      <c r="B772" s="143"/>
      <c r="C772" s="120"/>
      <c r="D772" s="144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 ht="13.5" customHeight="1">
      <c r="A773" s="120"/>
      <c r="B773" s="143"/>
      <c r="C773" s="120"/>
      <c r="D773" s="144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 ht="13.5" customHeight="1">
      <c r="A774" s="120"/>
      <c r="B774" s="143"/>
      <c r="C774" s="120"/>
      <c r="D774" s="144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 ht="13.5" customHeight="1">
      <c r="A775" s="120"/>
      <c r="B775" s="143"/>
      <c r="C775" s="120"/>
      <c r="D775" s="144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 ht="13.5" customHeight="1">
      <c r="A776" s="120"/>
      <c r="B776" s="143"/>
      <c r="C776" s="120"/>
      <c r="D776" s="144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 ht="13.5" customHeight="1">
      <c r="A777" s="120"/>
      <c r="B777" s="143"/>
      <c r="C777" s="120"/>
      <c r="D777" s="144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 ht="13.5" customHeight="1">
      <c r="A778" s="120"/>
      <c r="B778" s="143"/>
      <c r="C778" s="120"/>
      <c r="D778" s="144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 ht="13.5" customHeight="1">
      <c r="A779" s="120"/>
      <c r="B779" s="143"/>
      <c r="C779" s="120"/>
      <c r="D779" s="144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 ht="13.5" customHeight="1">
      <c r="A780" s="120"/>
      <c r="B780" s="143"/>
      <c r="C780" s="120"/>
      <c r="D780" s="144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 ht="13.5" customHeight="1">
      <c r="A781" s="120"/>
      <c r="B781" s="143"/>
      <c r="C781" s="120"/>
      <c r="D781" s="144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 ht="13.5" customHeight="1">
      <c r="A782" s="120"/>
      <c r="B782" s="143"/>
      <c r="C782" s="120"/>
      <c r="D782" s="144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 ht="13.5" customHeight="1">
      <c r="A783" s="120"/>
      <c r="B783" s="143"/>
      <c r="C783" s="120"/>
      <c r="D783" s="144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 ht="13.5" customHeight="1">
      <c r="A784" s="120"/>
      <c r="B784" s="143"/>
      <c r="C784" s="120"/>
      <c r="D784" s="144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 ht="13.5" customHeight="1">
      <c r="A785" s="120"/>
      <c r="B785" s="143"/>
      <c r="C785" s="120"/>
      <c r="D785" s="144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 ht="13.5" customHeight="1">
      <c r="A786" s="120"/>
      <c r="B786" s="143"/>
      <c r="C786" s="120"/>
      <c r="D786" s="144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 ht="13.5" customHeight="1">
      <c r="A787" s="120"/>
      <c r="B787" s="143"/>
      <c r="C787" s="120"/>
      <c r="D787" s="144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 ht="13.5" customHeight="1">
      <c r="A788" s="120"/>
      <c r="B788" s="143"/>
      <c r="C788" s="120"/>
      <c r="D788" s="144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 ht="13.5" customHeight="1">
      <c r="A789" s="120"/>
      <c r="B789" s="143"/>
      <c r="C789" s="120"/>
      <c r="D789" s="144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 ht="13.5" customHeight="1">
      <c r="A790" s="120"/>
      <c r="B790" s="143"/>
      <c r="C790" s="120"/>
      <c r="D790" s="144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 ht="13.5" customHeight="1">
      <c r="A791" s="120"/>
      <c r="B791" s="143"/>
      <c r="C791" s="120"/>
      <c r="D791" s="144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 ht="13.5" customHeight="1">
      <c r="A792" s="120"/>
      <c r="B792" s="143"/>
      <c r="C792" s="120"/>
      <c r="D792" s="144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 ht="13.5" customHeight="1">
      <c r="A793" s="120"/>
      <c r="B793" s="143"/>
      <c r="C793" s="120"/>
      <c r="D793" s="144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 ht="13.5" customHeight="1">
      <c r="A794" s="120"/>
      <c r="B794" s="143"/>
      <c r="C794" s="120"/>
      <c r="D794" s="144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 ht="13.5" customHeight="1">
      <c r="A795" s="120"/>
      <c r="B795" s="143"/>
      <c r="C795" s="120"/>
      <c r="D795" s="144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 ht="13.5" customHeight="1">
      <c r="A796" s="120"/>
      <c r="B796" s="143"/>
      <c r="C796" s="120"/>
      <c r="D796" s="144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 ht="13.5" customHeight="1">
      <c r="A797" s="120"/>
      <c r="B797" s="143"/>
      <c r="C797" s="120"/>
      <c r="D797" s="144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 ht="13.5" customHeight="1">
      <c r="A798" s="120"/>
      <c r="B798" s="143"/>
      <c r="C798" s="120"/>
      <c r="D798" s="144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 ht="13.5" customHeight="1">
      <c r="A799" s="120"/>
      <c r="B799" s="143"/>
      <c r="C799" s="120"/>
      <c r="D799" s="144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 ht="13.5" customHeight="1">
      <c r="A800" s="120"/>
      <c r="B800" s="143"/>
      <c r="C800" s="120"/>
      <c r="D800" s="144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 ht="13.5" customHeight="1">
      <c r="A801" s="120"/>
      <c r="B801" s="143"/>
      <c r="C801" s="120"/>
      <c r="D801" s="144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 ht="13.5" customHeight="1">
      <c r="A802" s="120"/>
      <c r="B802" s="143"/>
      <c r="C802" s="120"/>
      <c r="D802" s="144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 ht="13.5" customHeight="1">
      <c r="A803" s="120"/>
      <c r="B803" s="143"/>
      <c r="C803" s="120"/>
      <c r="D803" s="144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 ht="13.5" customHeight="1">
      <c r="A804" s="120"/>
      <c r="B804" s="143"/>
      <c r="C804" s="120"/>
      <c r="D804" s="144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 ht="13.5" customHeight="1">
      <c r="A805" s="120"/>
      <c r="B805" s="143"/>
      <c r="C805" s="120"/>
      <c r="D805" s="144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 ht="13.5" customHeight="1">
      <c r="A806" s="120"/>
      <c r="B806" s="143"/>
      <c r="C806" s="120"/>
      <c r="D806" s="144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 ht="13.5" customHeight="1">
      <c r="A807" s="120"/>
      <c r="B807" s="143"/>
      <c r="C807" s="120"/>
      <c r="D807" s="144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 ht="13.5" customHeight="1">
      <c r="A808" s="120"/>
      <c r="B808" s="143"/>
      <c r="C808" s="120"/>
      <c r="D808" s="144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 ht="13.5" customHeight="1">
      <c r="A809" s="120"/>
      <c r="B809" s="143"/>
      <c r="C809" s="120"/>
      <c r="D809" s="144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 ht="13.5" customHeight="1">
      <c r="A810" s="120"/>
      <c r="B810" s="143"/>
      <c r="C810" s="120"/>
      <c r="D810" s="144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 ht="13.5" customHeight="1">
      <c r="A811" s="120"/>
      <c r="B811" s="143"/>
      <c r="C811" s="120"/>
      <c r="D811" s="144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 ht="13.5" customHeight="1">
      <c r="A812" s="120"/>
      <c r="B812" s="143"/>
      <c r="C812" s="120"/>
      <c r="D812" s="144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 ht="13.5" customHeight="1">
      <c r="A813" s="120"/>
      <c r="B813" s="143"/>
      <c r="C813" s="120"/>
      <c r="D813" s="144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 ht="13.5" customHeight="1">
      <c r="A814" s="120"/>
      <c r="B814" s="143"/>
      <c r="C814" s="120"/>
      <c r="D814" s="144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 ht="13.5" customHeight="1">
      <c r="A815" s="120"/>
      <c r="B815" s="143"/>
      <c r="C815" s="120"/>
      <c r="D815" s="144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 ht="13.5" customHeight="1">
      <c r="A816" s="120"/>
      <c r="B816" s="143"/>
      <c r="C816" s="120"/>
      <c r="D816" s="144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 ht="13.5" customHeight="1">
      <c r="A817" s="120"/>
      <c r="B817" s="143"/>
      <c r="C817" s="120"/>
      <c r="D817" s="144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 ht="13.5" customHeight="1">
      <c r="A818" s="120"/>
      <c r="B818" s="143"/>
      <c r="C818" s="120"/>
      <c r="D818" s="144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 ht="13.5" customHeight="1">
      <c r="A819" s="120"/>
      <c r="B819" s="143"/>
      <c r="C819" s="120"/>
      <c r="D819" s="144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 ht="13.5" customHeight="1">
      <c r="A820" s="120"/>
      <c r="B820" s="143"/>
      <c r="C820" s="120"/>
      <c r="D820" s="144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 ht="13.5" customHeight="1">
      <c r="A821" s="120"/>
      <c r="B821" s="143"/>
      <c r="C821" s="120"/>
      <c r="D821" s="144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 ht="13.5" customHeight="1">
      <c r="A822" s="120"/>
      <c r="B822" s="143"/>
      <c r="C822" s="120"/>
      <c r="D822" s="144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 ht="13.5" customHeight="1">
      <c r="A823" s="120"/>
      <c r="B823" s="143"/>
      <c r="C823" s="120"/>
      <c r="D823" s="144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 ht="13.5" customHeight="1">
      <c r="A824" s="120"/>
      <c r="B824" s="143"/>
      <c r="C824" s="120"/>
      <c r="D824" s="144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 ht="13.5" customHeight="1">
      <c r="A825" s="120"/>
      <c r="B825" s="143"/>
      <c r="C825" s="120"/>
      <c r="D825" s="144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 ht="13.5" customHeight="1">
      <c r="A826" s="120"/>
      <c r="B826" s="143"/>
      <c r="C826" s="120"/>
      <c r="D826" s="144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 ht="13.5" customHeight="1">
      <c r="A827" s="120"/>
      <c r="B827" s="143"/>
      <c r="C827" s="120"/>
      <c r="D827" s="144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 ht="13.5" customHeight="1">
      <c r="A828" s="120"/>
      <c r="B828" s="143"/>
      <c r="C828" s="120"/>
      <c r="D828" s="144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 ht="13.5" customHeight="1">
      <c r="A829" s="120"/>
      <c r="B829" s="143"/>
      <c r="C829" s="120"/>
      <c r="D829" s="144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 ht="13.5" customHeight="1">
      <c r="A830" s="120"/>
      <c r="B830" s="143"/>
      <c r="C830" s="120"/>
      <c r="D830" s="144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 ht="13.5" customHeight="1">
      <c r="A831" s="120"/>
      <c r="B831" s="143"/>
      <c r="C831" s="120"/>
      <c r="D831" s="144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 ht="13.5" customHeight="1">
      <c r="A832" s="120"/>
      <c r="B832" s="143"/>
      <c r="C832" s="120"/>
      <c r="D832" s="144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 ht="13.5" customHeight="1">
      <c r="A833" s="120"/>
      <c r="B833" s="143"/>
      <c r="C833" s="120"/>
      <c r="D833" s="144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 ht="13.5" customHeight="1">
      <c r="A834" s="120"/>
      <c r="B834" s="143"/>
      <c r="C834" s="120"/>
      <c r="D834" s="144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 ht="13.5" customHeight="1">
      <c r="A835" s="120"/>
      <c r="B835" s="143"/>
      <c r="C835" s="120"/>
      <c r="D835" s="144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 ht="13.5" customHeight="1">
      <c r="A836" s="120"/>
      <c r="B836" s="143"/>
      <c r="C836" s="120"/>
      <c r="D836" s="144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 ht="13.5" customHeight="1">
      <c r="A837" s="120"/>
      <c r="B837" s="143"/>
      <c r="C837" s="120"/>
      <c r="D837" s="144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 ht="13.5" customHeight="1">
      <c r="A838" s="120"/>
      <c r="B838" s="143"/>
      <c r="C838" s="120"/>
      <c r="D838" s="144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 ht="13.5" customHeight="1">
      <c r="A839" s="120"/>
      <c r="B839" s="143"/>
      <c r="C839" s="120"/>
      <c r="D839" s="144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 ht="13.5" customHeight="1">
      <c r="A840" s="120"/>
      <c r="B840" s="143"/>
      <c r="C840" s="120"/>
      <c r="D840" s="144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 ht="13.5" customHeight="1">
      <c r="A841" s="120"/>
      <c r="B841" s="143"/>
      <c r="C841" s="120"/>
      <c r="D841" s="144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 ht="13.5" customHeight="1">
      <c r="A842" s="120"/>
      <c r="B842" s="143"/>
      <c r="C842" s="120"/>
      <c r="D842" s="144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 ht="13.5" customHeight="1">
      <c r="A843" s="120"/>
      <c r="B843" s="143"/>
      <c r="C843" s="120"/>
      <c r="D843" s="144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 ht="13.5" customHeight="1">
      <c r="A844" s="120"/>
      <c r="B844" s="143"/>
      <c r="C844" s="120"/>
      <c r="D844" s="144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 ht="13.5" customHeight="1">
      <c r="A845" s="120"/>
      <c r="B845" s="143"/>
      <c r="C845" s="120"/>
      <c r="D845" s="144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 ht="13.5" customHeight="1">
      <c r="A846" s="120"/>
      <c r="B846" s="143"/>
      <c r="C846" s="120"/>
      <c r="D846" s="144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 ht="13.5" customHeight="1">
      <c r="A847" s="120"/>
      <c r="B847" s="143"/>
      <c r="C847" s="120"/>
      <c r="D847" s="144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 ht="13.5" customHeight="1">
      <c r="A848" s="120"/>
      <c r="B848" s="143"/>
      <c r="C848" s="120"/>
      <c r="D848" s="144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 ht="13.5" customHeight="1">
      <c r="A849" s="120"/>
      <c r="B849" s="143"/>
      <c r="C849" s="120"/>
      <c r="D849" s="144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 ht="13.5" customHeight="1">
      <c r="A850" s="120"/>
      <c r="B850" s="143"/>
      <c r="C850" s="120"/>
      <c r="D850" s="144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 ht="13.5" customHeight="1">
      <c r="A851" s="120"/>
      <c r="B851" s="143"/>
      <c r="C851" s="120"/>
      <c r="D851" s="144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 ht="13.5" customHeight="1">
      <c r="A852" s="120"/>
      <c r="B852" s="143"/>
      <c r="C852" s="120"/>
      <c r="D852" s="144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 ht="13.5" customHeight="1">
      <c r="A853" s="120"/>
      <c r="B853" s="143"/>
      <c r="C853" s="120"/>
      <c r="D853" s="144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 ht="13.5" customHeight="1">
      <c r="A854" s="120"/>
      <c r="B854" s="143"/>
      <c r="C854" s="120"/>
      <c r="D854" s="144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 ht="13.5" customHeight="1">
      <c r="A855" s="120"/>
      <c r="B855" s="143"/>
      <c r="C855" s="120"/>
      <c r="D855" s="144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 ht="13.5" customHeight="1">
      <c r="A856" s="120"/>
      <c r="B856" s="143"/>
      <c r="C856" s="120"/>
      <c r="D856" s="144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 ht="13.5" customHeight="1">
      <c r="A857" s="120"/>
      <c r="B857" s="143"/>
      <c r="C857" s="120"/>
      <c r="D857" s="144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 ht="13.5" customHeight="1">
      <c r="A858" s="120"/>
      <c r="B858" s="143"/>
      <c r="C858" s="120"/>
      <c r="D858" s="144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 ht="13.5" customHeight="1">
      <c r="A859" s="120"/>
      <c r="B859" s="143"/>
      <c r="C859" s="120"/>
      <c r="D859" s="144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 ht="13.5" customHeight="1">
      <c r="A860" s="120"/>
      <c r="B860" s="143"/>
      <c r="C860" s="120"/>
      <c r="D860" s="144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 ht="13.5" customHeight="1">
      <c r="A861" s="120"/>
      <c r="B861" s="143"/>
      <c r="C861" s="120"/>
      <c r="D861" s="144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 ht="13.5" customHeight="1">
      <c r="A862" s="120"/>
      <c r="B862" s="143"/>
      <c r="C862" s="120"/>
      <c r="D862" s="144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 ht="13.5" customHeight="1">
      <c r="A863" s="120"/>
      <c r="B863" s="143"/>
      <c r="C863" s="120"/>
      <c r="D863" s="144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 ht="13.5" customHeight="1">
      <c r="A864" s="120"/>
      <c r="B864" s="143"/>
      <c r="C864" s="120"/>
      <c r="D864" s="144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 ht="13.5" customHeight="1">
      <c r="A865" s="120"/>
      <c r="B865" s="143"/>
      <c r="C865" s="120"/>
      <c r="D865" s="144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 ht="13.5" customHeight="1">
      <c r="A866" s="120"/>
      <c r="B866" s="143"/>
      <c r="C866" s="120"/>
      <c r="D866" s="144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 ht="13.5" customHeight="1">
      <c r="A867" s="120"/>
      <c r="B867" s="143"/>
      <c r="C867" s="120"/>
      <c r="D867" s="144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 ht="13.5" customHeight="1">
      <c r="A868" s="120"/>
      <c r="B868" s="143"/>
      <c r="C868" s="120"/>
      <c r="D868" s="144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 ht="13.5" customHeight="1">
      <c r="A869" s="120"/>
      <c r="B869" s="143"/>
      <c r="C869" s="120"/>
      <c r="D869" s="144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 ht="13.5" customHeight="1">
      <c r="A870" s="120"/>
      <c r="B870" s="143"/>
      <c r="C870" s="120"/>
      <c r="D870" s="144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 ht="13.5" customHeight="1">
      <c r="A871" s="120"/>
      <c r="B871" s="143"/>
      <c r="C871" s="120"/>
      <c r="D871" s="144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 ht="13.5" customHeight="1">
      <c r="A872" s="120"/>
      <c r="B872" s="143"/>
      <c r="C872" s="120"/>
      <c r="D872" s="144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 ht="13.5" customHeight="1">
      <c r="A873" s="120"/>
      <c r="B873" s="143"/>
      <c r="C873" s="120"/>
      <c r="D873" s="144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 ht="13.5" customHeight="1">
      <c r="A874" s="120"/>
      <c r="B874" s="143"/>
      <c r="C874" s="120"/>
      <c r="D874" s="144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 ht="13.5" customHeight="1">
      <c r="A875" s="120"/>
      <c r="B875" s="143"/>
      <c r="C875" s="120"/>
      <c r="D875" s="144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 ht="13.5" customHeight="1">
      <c r="A876" s="120"/>
      <c r="B876" s="143"/>
      <c r="C876" s="120"/>
      <c r="D876" s="144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 ht="13.5" customHeight="1">
      <c r="A877" s="120"/>
      <c r="B877" s="143"/>
      <c r="C877" s="120"/>
      <c r="D877" s="144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 ht="13.5" customHeight="1">
      <c r="A878" s="120"/>
      <c r="B878" s="143"/>
      <c r="C878" s="120"/>
      <c r="D878" s="144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 ht="13.5" customHeight="1">
      <c r="A879" s="120"/>
      <c r="B879" s="143"/>
      <c r="C879" s="120"/>
      <c r="D879" s="144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 ht="13.5" customHeight="1">
      <c r="A880" s="120"/>
      <c r="B880" s="143"/>
      <c r="C880" s="120"/>
      <c r="D880" s="144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 ht="13.5" customHeight="1">
      <c r="A881" s="120"/>
      <c r="B881" s="143"/>
      <c r="C881" s="120"/>
      <c r="D881" s="144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 ht="13.5" customHeight="1">
      <c r="A882" s="120"/>
      <c r="B882" s="143"/>
      <c r="C882" s="120"/>
      <c r="D882" s="144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 ht="13.5" customHeight="1">
      <c r="A883" s="120"/>
      <c r="B883" s="143"/>
      <c r="C883" s="120"/>
      <c r="D883" s="144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 ht="13.5" customHeight="1">
      <c r="A884" s="120"/>
      <c r="B884" s="143"/>
      <c r="C884" s="120"/>
      <c r="D884" s="144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 ht="13.5" customHeight="1">
      <c r="A885" s="120"/>
      <c r="B885" s="143"/>
      <c r="C885" s="120"/>
      <c r="D885" s="144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 ht="13.5" customHeight="1">
      <c r="A886" s="120"/>
      <c r="B886" s="143"/>
      <c r="C886" s="120"/>
      <c r="D886" s="144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 ht="13.5" customHeight="1">
      <c r="A887" s="120"/>
      <c r="B887" s="143"/>
      <c r="C887" s="120"/>
      <c r="D887" s="144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 ht="13.5" customHeight="1">
      <c r="A888" s="120"/>
      <c r="B888" s="143"/>
      <c r="C888" s="120"/>
      <c r="D888" s="144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 ht="13.5" customHeight="1">
      <c r="A889" s="120"/>
      <c r="B889" s="143"/>
      <c r="C889" s="120"/>
      <c r="D889" s="144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 ht="13.5" customHeight="1">
      <c r="A890" s="120"/>
      <c r="B890" s="143"/>
      <c r="C890" s="120"/>
      <c r="D890" s="144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 ht="13.5" customHeight="1">
      <c r="A891" s="120"/>
      <c r="B891" s="143"/>
      <c r="C891" s="120"/>
      <c r="D891" s="144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 ht="13.5" customHeight="1">
      <c r="A892" s="120"/>
      <c r="B892" s="143"/>
      <c r="C892" s="120"/>
      <c r="D892" s="144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 ht="13.5" customHeight="1">
      <c r="A893" s="120"/>
      <c r="B893" s="143"/>
      <c r="C893" s="120"/>
      <c r="D893" s="144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 ht="13.5" customHeight="1">
      <c r="A894" s="120"/>
      <c r="B894" s="143"/>
      <c r="C894" s="120"/>
      <c r="D894" s="144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 ht="13.5" customHeight="1">
      <c r="A895" s="120"/>
      <c r="B895" s="143"/>
      <c r="C895" s="120"/>
      <c r="D895" s="144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 ht="13.5" customHeight="1">
      <c r="A896" s="120"/>
      <c r="B896" s="143"/>
      <c r="C896" s="120"/>
      <c r="D896" s="144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 ht="13.5" customHeight="1">
      <c r="A897" s="120"/>
      <c r="B897" s="143"/>
      <c r="C897" s="120"/>
      <c r="D897" s="144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 ht="13.5" customHeight="1">
      <c r="A898" s="120"/>
      <c r="B898" s="143"/>
      <c r="C898" s="120"/>
      <c r="D898" s="144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 ht="13.5" customHeight="1">
      <c r="A899" s="120"/>
      <c r="B899" s="143"/>
      <c r="C899" s="120"/>
      <c r="D899" s="144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 ht="13.5" customHeight="1">
      <c r="A900" s="120"/>
      <c r="B900" s="143"/>
      <c r="C900" s="120"/>
      <c r="D900" s="144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 ht="13.5" customHeight="1">
      <c r="A901" s="120"/>
      <c r="B901" s="143"/>
      <c r="C901" s="120"/>
      <c r="D901" s="144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 ht="13.5" customHeight="1">
      <c r="A902" s="120"/>
      <c r="B902" s="143"/>
      <c r="C902" s="120"/>
      <c r="D902" s="144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 ht="13.5" customHeight="1">
      <c r="A903" s="120"/>
      <c r="B903" s="143"/>
      <c r="C903" s="120"/>
      <c r="D903" s="144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 ht="13.5" customHeight="1">
      <c r="A904" s="120"/>
      <c r="B904" s="143"/>
      <c r="C904" s="120"/>
      <c r="D904" s="144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 ht="13.5" customHeight="1">
      <c r="A905" s="120"/>
      <c r="B905" s="143"/>
      <c r="C905" s="120"/>
      <c r="D905" s="144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 ht="13.5" customHeight="1">
      <c r="A906" s="120"/>
      <c r="B906" s="143"/>
      <c r="C906" s="120"/>
      <c r="D906" s="144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 ht="13.5" customHeight="1">
      <c r="A907" s="120"/>
      <c r="B907" s="143"/>
      <c r="C907" s="120"/>
      <c r="D907" s="144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 ht="13.5" customHeight="1">
      <c r="A908" s="120"/>
      <c r="B908" s="143"/>
      <c r="C908" s="120"/>
      <c r="D908" s="144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 ht="13.5" customHeight="1">
      <c r="A909" s="120"/>
      <c r="B909" s="143"/>
      <c r="C909" s="120"/>
      <c r="D909" s="144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 ht="13.5" customHeight="1">
      <c r="A910" s="120"/>
      <c r="B910" s="143"/>
      <c r="C910" s="120"/>
      <c r="D910" s="144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 ht="13.5" customHeight="1">
      <c r="A911" s="120"/>
      <c r="B911" s="143"/>
      <c r="C911" s="120"/>
      <c r="D911" s="144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 ht="13.5" customHeight="1">
      <c r="A912" s="120"/>
      <c r="B912" s="143"/>
      <c r="C912" s="120"/>
      <c r="D912" s="144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 ht="13.5" customHeight="1">
      <c r="A913" s="120"/>
      <c r="B913" s="143"/>
      <c r="C913" s="120"/>
      <c r="D913" s="144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 ht="13.5" customHeight="1">
      <c r="A914" s="120"/>
      <c r="B914" s="143"/>
      <c r="C914" s="120"/>
      <c r="D914" s="144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 ht="13.5" customHeight="1">
      <c r="A915" s="120"/>
      <c r="B915" s="143"/>
      <c r="C915" s="120"/>
      <c r="D915" s="144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 ht="13.5" customHeight="1">
      <c r="A916" s="120"/>
      <c r="B916" s="143"/>
      <c r="C916" s="120"/>
      <c r="D916" s="144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 ht="13.5" customHeight="1">
      <c r="A917" s="120"/>
      <c r="B917" s="143"/>
      <c r="C917" s="120"/>
      <c r="D917" s="144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 ht="13.5" customHeight="1">
      <c r="A918" s="120"/>
      <c r="B918" s="143"/>
      <c r="C918" s="120"/>
      <c r="D918" s="144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 ht="13.5" customHeight="1">
      <c r="A919" s="120"/>
      <c r="B919" s="143"/>
      <c r="C919" s="120"/>
      <c r="D919" s="144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 ht="13.5" customHeight="1">
      <c r="A920" s="120"/>
      <c r="B920" s="143"/>
      <c r="C920" s="120"/>
      <c r="D920" s="144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 ht="13.5" customHeight="1">
      <c r="A921" s="120"/>
      <c r="B921" s="143"/>
      <c r="C921" s="120"/>
      <c r="D921" s="144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 ht="13.5" customHeight="1">
      <c r="A922" s="120"/>
      <c r="B922" s="143"/>
      <c r="C922" s="120"/>
      <c r="D922" s="144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 ht="13.5" customHeight="1">
      <c r="A923" s="120"/>
      <c r="B923" s="143"/>
      <c r="C923" s="120"/>
      <c r="D923" s="144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 ht="13.5" customHeight="1">
      <c r="A924" s="120"/>
      <c r="B924" s="143"/>
      <c r="C924" s="120"/>
      <c r="D924" s="144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 ht="13.5" customHeight="1">
      <c r="A925" s="120"/>
      <c r="B925" s="143"/>
      <c r="C925" s="120"/>
      <c r="D925" s="144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 ht="13.5" customHeight="1">
      <c r="A926" s="120"/>
      <c r="B926" s="143"/>
      <c r="C926" s="120"/>
      <c r="D926" s="144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 ht="13.5" customHeight="1">
      <c r="A927" s="120"/>
      <c r="B927" s="143"/>
      <c r="C927" s="120"/>
      <c r="D927" s="144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 ht="13.5" customHeight="1">
      <c r="A928" s="120"/>
      <c r="B928" s="143"/>
      <c r="C928" s="120"/>
      <c r="D928" s="144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 ht="13.5" customHeight="1">
      <c r="A929" s="120"/>
      <c r="B929" s="143"/>
      <c r="C929" s="120"/>
      <c r="D929" s="144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 ht="13.5" customHeight="1">
      <c r="A930" s="120"/>
      <c r="B930" s="143"/>
      <c r="C930" s="120"/>
      <c r="D930" s="144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 ht="13.5" customHeight="1">
      <c r="A931" s="120"/>
      <c r="B931" s="143"/>
      <c r="C931" s="120"/>
      <c r="D931" s="144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 ht="13.5" customHeight="1">
      <c r="A932" s="120"/>
      <c r="B932" s="143"/>
      <c r="C932" s="120"/>
      <c r="D932" s="144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 ht="13.5" customHeight="1">
      <c r="A933" s="120"/>
      <c r="B933" s="143"/>
      <c r="C933" s="120"/>
      <c r="D933" s="144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 ht="13.5" customHeight="1">
      <c r="A934" s="120"/>
      <c r="B934" s="143"/>
      <c r="C934" s="120"/>
      <c r="D934" s="144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 ht="13.5" customHeight="1">
      <c r="A935" s="120"/>
      <c r="B935" s="143"/>
      <c r="C935" s="120"/>
      <c r="D935" s="144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 ht="13.5" customHeight="1">
      <c r="A936" s="120"/>
      <c r="B936" s="143"/>
      <c r="C936" s="120"/>
      <c r="D936" s="144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 ht="13.5" customHeight="1">
      <c r="A937" s="120"/>
      <c r="B937" s="143"/>
      <c r="C937" s="120"/>
      <c r="D937" s="144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 ht="13.5" customHeight="1">
      <c r="A938" s="120"/>
      <c r="B938" s="143"/>
      <c r="C938" s="120"/>
      <c r="D938" s="144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 ht="13.5" customHeight="1">
      <c r="A939" s="120"/>
      <c r="B939" s="143"/>
      <c r="C939" s="120"/>
      <c r="D939" s="144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 ht="13.5" customHeight="1">
      <c r="A940" s="120"/>
      <c r="B940" s="143"/>
      <c r="C940" s="120"/>
      <c r="D940" s="144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 ht="13.5" customHeight="1">
      <c r="A941" s="120"/>
      <c r="B941" s="143"/>
      <c r="C941" s="120"/>
      <c r="D941" s="144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 ht="13.5" customHeight="1">
      <c r="A942" s="120"/>
      <c r="B942" s="143"/>
      <c r="C942" s="120"/>
      <c r="D942" s="144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 ht="13.5" customHeight="1">
      <c r="A943" s="120"/>
      <c r="B943" s="143"/>
      <c r="C943" s="120"/>
      <c r="D943" s="144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 ht="13.5" customHeight="1">
      <c r="A944" s="120"/>
      <c r="B944" s="143"/>
      <c r="C944" s="120"/>
      <c r="D944" s="144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 ht="13.5" customHeight="1">
      <c r="A945" s="120"/>
      <c r="B945" s="143"/>
      <c r="C945" s="120"/>
      <c r="D945" s="144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 ht="13.5" customHeight="1">
      <c r="A946" s="120"/>
      <c r="B946" s="143"/>
      <c r="C946" s="120"/>
      <c r="D946" s="144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 ht="13.5" customHeight="1">
      <c r="A947" s="120"/>
      <c r="B947" s="143"/>
      <c r="C947" s="120"/>
      <c r="D947" s="144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 ht="13.5" customHeight="1">
      <c r="A948" s="120"/>
      <c r="B948" s="143"/>
      <c r="C948" s="120"/>
      <c r="D948" s="144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 ht="13.5" customHeight="1">
      <c r="A949" s="120"/>
      <c r="B949" s="143"/>
      <c r="C949" s="120"/>
      <c r="D949" s="144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 ht="13.5" customHeight="1">
      <c r="A950" s="120"/>
      <c r="B950" s="143"/>
      <c r="C950" s="120"/>
      <c r="D950" s="144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 ht="13.5" customHeight="1">
      <c r="A951" s="120"/>
      <c r="B951" s="143"/>
      <c r="C951" s="120"/>
      <c r="D951" s="144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 ht="13.5" customHeight="1">
      <c r="A952" s="120"/>
      <c r="B952" s="143"/>
      <c r="C952" s="120"/>
      <c r="D952" s="144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 ht="13.5" customHeight="1">
      <c r="A953" s="120"/>
      <c r="B953" s="143"/>
      <c r="C953" s="120"/>
      <c r="D953" s="144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 ht="13.5" customHeight="1">
      <c r="A954" s="120"/>
      <c r="B954" s="143"/>
      <c r="C954" s="120"/>
      <c r="D954" s="144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 ht="13.5" customHeight="1">
      <c r="A955" s="120"/>
      <c r="B955" s="143"/>
      <c r="C955" s="120"/>
      <c r="D955" s="144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 ht="13.5" customHeight="1">
      <c r="A956" s="120"/>
      <c r="B956" s="143"/>
      <c r="C956" s="120"/>
      <c r="D956" s="144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 ht="13.5" customHeight="1">
      <c r="A957" s="120"/>
      <c r="B957" s="143"/>
      <c r="C957" s="120"/>
      <c r="D957" s="144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 ht="13.5" customHeight="1">
      <c r="A958" s="120"/>
      <c r="B958" s="143"/>
      <c r="C958" s="120"/>
      <c r="D958" s="144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 ht="13.5" customHeight="1">
      <c r="A959" s="120"/>
      <c r="B959" s="143"/>
      <c r="C959" s="120"/>
      <c r="D959" s="144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 ht="13.5" customHeight="1">
      <c r="A960" s="120"/>
      <c r="B960" s="143"/>
      <c r="C960" s="120"/>
      <c r="D960" s="144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 ht="13.5" customHeight="1">
      <c r="A961" s="120"/>
      <c r="B961" s="143"/>
      <c r="C961" s="120"/>
      <c r="D961" s="144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 ht="13.5" customHeight="1">
      <c r="A962" s="120"/>
      <c r="B962" s="143"/>
      <c r="C962" s="120"/>
      <c r="D962" s="144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 ht="13.5" customHeight="1">
      <c r="A963" s="120"/>
      <c r="B963" s="143"/>
      <c r="C963" s="120"/>
      <c r="D963" s="144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 ht="13.5" customHeight="1">
      <c r="A964" s="120"/>
      <c r="B964" s="143"/>
      <c r="C964" s="120"/>
      <c r="D964" s="144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 ht="13.5" customHeight="1">
      <c r="A965" s="120"/>
      <c r="B965" s="143"/>
      <c r="C965" s="120"/>
      <c r="D965" s="144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 ht="13.5" customHeight="1">
      <c r="A966" s="120"/>
      <c r="B966" s="143"/>
      <c r="C966" s="120"/>
      <c r="D966" s="144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 ht="13.5" customHeight="1">
      <c r="A967" s="120"/>
      <c r="B967" s="143"/>
      <c r="C967" s="120"/>
      <c r="D967" s="144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 ht="13.5" customHeight="1">
      <c r="A968" s="120"/>
      <c r="B968" s="143"/>
      <c r="C968" s="120"/>
      <c r="D968" s="144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 ht="13.5" customHeight="1">
      <c r="A969" s="120"/>
      <c r="B969" s="143"/>
      <c r="C969" s="120"/>
      <c r="D969" s="144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 ht="13.5" customHeight="1">
      <c r="A970" s="120"/>
      <c r="B970" s="143"/>
      <c r="C970" s="120"/>
      <c r="D970" s="144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 ht="13.5" customHeight="1">
      <c r="A971" s="120"/>
      <c r="B971" s="143"/>
      <c r="C971" s="120"/>
      <c r="D971" s="144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 ht="13.5" customHeight="1">
      <c r="A972" s="120"/>
      <c r="B972" s="143"/>
      <c r="C972" s="120"/>
      <c r="D972" s="144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 ht="13.5" customHeight="1">
      <c r="A973" s="120"/>
      <c r="B973" s="143"/>
      <c r="C973" s="120"/>
      <c r="D973" s="144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 ht="13.5" customHeight="1">
      <c r="A974" s="120"/>
      <c r="B974" s="143"/>
      <c r="C974" s="120"/>
      <c r="D974" s="144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 ht="13.5" customHeight="1">
      <c r="A975" s="120"/>
      <c r="B975" s="143"/>
      <c r="C975" s="120"/>
      <c r="D975" s="144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 ht="13.5" customHeight="1">
      <c r="A976" s="120"/>
      <c r="B976" s="143"/>
      <c r="C976" s="120"/>
      <c r="D976" s="144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 ht="13.5" customHeight="1">
      <c r="A977" s="120"/>
      <c r="B977" s="143"/>
      <c r="C977" s="120"/>
      <c r="D977" s="144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 ht="13.5" customHeight="1">
      <c r="A978" s="120"/>
      <c r="B978" s="143"/>
      <c r="C978" s="120"/>
      <c r="D978" s="144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 ht="13.5" customHeight="1">
      <c r="A979" s="120"/>
      <c r="B979" s="143"/>
      <c r="C979" s="120"/>
      <c r="D979" s="144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 ht="13.5" customHeight="1">
      <c r="A980" s="120"/>
      <c r="B980" s="143"/>
      <c r="C980" s="120"/>
      <c r="D980" s="144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 ht="13.5" customHeight="1">
      <c r="A981" s="120"/>
      <c r="B981" s="143"/>
      <c r="C981" s="120"/>
      <c r="D981" s="144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 ht="13.5" customHeight="1">
      <c r="A982" s="120"/>
      <c r="B982" s="143"/>
      <c r="C982" s="120"/>
      <c r="D982" s="144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 ht="13.5" customHeight="1">
      <c r="A983" s="120"/>
      <c r="B983" s="143"/>
      <c r="C983" s="120"/>
      <c r="D983" s="144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 ht="13.5" customHeight="1">
      <c r="A984" s="120"/>
      <c r="B984" s="143"/>
      <c r="C984" s="120"/>
      <c r="D984" s="144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 ht="13.5" customHeight="1">
      <c r="A985" s="120"/>
      <c r="B985" s="143"/>
      <c r="C985" s="120"/>
      <c r="D985" s="144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 ht="13.5" customHeight="1">
      <c r="A986" s="120"/>
      <c r="B986" s="143"/>
      <c r="C986" s="120"/>
      <c r="D986" s="144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 ht="13.5" customHeight="1">
      <c r="A987" s="120"/>
      <c r="B987" s="143"/>
      <c r="C987" s="120"/>
      <c r="D987" s="144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 ht="13.5" customHeight="1">
      <c r="A988" s="120"/>
      <c r="B988" s="143"/>
      <c r="C988" s="120"/>
      <c r="D988" s="144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 ht="13.5" customHeight="1">
      <c r="A989" s="120"/>
      <c r="B989" s="143"/>
      <c r="C989" s="120"/>
      <c r="D989" s="144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 ht="13.5" customHeight="1">
      <c r="A990" s="120"/>
      <c r="B990" s="143"/>
      <c r="C990" s="120"/>
      <c r="D990" s="144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 ht="13.5" customHeight="1">
      <c r="A991" s="120"/>
      <c r="B991" s="143"/>
      <c r="C991" s="120"/>
      <c r="D991" s="144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  <row r="992" ht="13.5" customHeight="1">
      <c r="A992" s="120"/>
      <c r="B992" s="143"/>
      <c r="C992" s="120"/>
      <c r="D992" s="144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</row>
    <row r="993" ht="13.5" customHeight="1">
      <c r="A993" s="120"/>
      <c r="B993" s="143"/>
      <c r="C993" s="120"/>
      <c r="D993" s="144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</row>
    <row r="994" ht="13.5" customHeight="1">
      <c r="A994" s="120"/>
      <c r="B994" s="143"/>
      <c r="C994" s="120"/>
      <c r="D994" s="144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</row>
    <row r="995" ht="13.5" customHeight="1">
      <c r="A995" s="120"/>
      <c r="B995" s="143"/>
      <c r="C995" s="120"/>
      <c r="D995" s="144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</row>
    <row r="996" ht="13.5" customHeight="1">
      <c r="A996" s="120"/>
      <c r="B996" s="143"/>
      <c r="C996" s="120"/>
      <c r="D996" s="144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</row>
    <row r="997" ht="13.5" customHeight="1">
      <c r="A997" s="120"/>
      <c r="B997" s="143"/>
      <c r="C997" s="120"/>
      <c r="D997" s="144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</row>
    <row r="998" ht="13.5" customHeight="1">
      <c r="A998" s="120"/>
      <c r="B998" s="143"/>
      <c r="C998" s="120"/>
      <c r="D998" s="144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</row>
    <row r="999" ht="13.5" customHeight="1">
      <c r="A999" s="120"/>
      <c r="B999" s="143"/>
      <c r="C999" s="120"/>
      <c r="D999" s="144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</row>
    <row r="1000" ht="13.5" customHeight="1">
      <c r="A1000" s="120"/>
      <c r="B1000" s="143"/>
      <c r="C1000" s="120"/>
      <c r="D1000" s="144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</row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7:E17"/>
    <mergeCell ref="B37:D37"/>
    <mergeCell ref="B38:D38"/>
  </mergeCells>
  <dataValidations>
    <dataValidation type="list" allowBlank="1" showInputMessage="1" showErrorMessage="1" prompt=" - " sqref="F8:T36">
      <formula1>"O"</formula1>
    </dataValidation>
    <dataValidation type="list" allowBlank="1" showInputMessage="1" showErrorMessage="1" prompt=" - " sqref="F37:T37">
      <formula1>"N,A,B"</formula1>
    </dataValidation>
    <dataValidation type="list" allowBlank="1" showInputMessage="1" showErrorMessage="1" prompt=" - " sqref="F38:T38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110" t="s">
        <v>94</v>
      </c>
      <c r="B1" s="111"/>
      <c r="C1" s="112" t="s">
        <v>185</v>
      </c>
      <c r="D1" s="113"/>
      <c r="E1" s="114"/>
      <c r="F1" s="115" t="s">
        <v>95</v>
      </c>
      <c r="G1" s="116"/>
      <c r="H1" s="116"/>
      <c r="I1" s="116"/>
      <c r="J1" s="116"/>
      <c r="K1" s="117"/>
      <c r="L1" s="118" t="s">
        <v>186</v>
      </c>
      <c r="M1" s="113"/>
      <c r="N1" s="113"/>
      <c r="O1" s="113"/>
      <c r="P1" s="113"/>
      <c r="Q1" s="113"/>
      <c r="R1" s="113"/>
      <c r="S1" s="113"/>
      <c r="T1" s="119"/>
      <c r="U1" s="120"/>
      <c r="V1" s="121"/>
      <c r="W1" s="120"/>
      <c r="X1" s="120"/>
      <c r="Y1" s="120"/>
      <c r="Z1" s="120"/>
    </row>
    <row r="2" ht="13.5" customHeight="1">
      <c r="A2" s="122" t="s">
        <v>96</v>
      </c>
      <c r="B2" s="17"/>
      <c r="C2" s="123" t="s">
        <v>97</v>
      </c>
      <c r="D2" s="124"/>
      <c r="E2" s="125"/>
      <c r="F2" s="126" t="s">
        <v>98</v>
      </c>
      <c r="G2" s="16"/>
      <c r="H2" s="16"/>
      <c r="I2" s="16"/>
      <c r="J2" s="16"/>
      <c r="K2" s="17"/>
      <c r="L2" s="127"/>
      <c r="M2" s="124"/>
      <c r="N2" s="128"/>
      <c r="O2" s="129"/>
      <c r="P2" s="129"/>
      <c r="Q2" s="129"/>
      <c r="R2" s="129"/>
      <c r="S2" s="129"/>
      <c r="T2" s="130"/>
      <c r="U2" s="120"/>
      <c r="V2" s="120"/>
      <c r="W2" s="120"/>
      <c r="X2" s="120"/>
      <c r="Y2" s="120"/>
      <c r="Z2" s="120"/>
    </row>
    <row r="3" ht="13.5" customHeight="1">
      <c r="A3" s="122" t="s">
        <v>99</v>
      </c>
      <c r="B3" s="17"/>
      <c r="C3" s="131" t="s">
        <v>100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32"/>
      <c r="U3" s="120"/>
      <c r="V3" s="120"/>
      <c r="W3" s="120"/>
      <c r="X3" s="120"/>
      <c r="Y3" s="120"/>
      <c r="Z3" s="120"/>
    </row>
    <row r="4" ht="13.5" customHeight="1">
      <c r="A4" s="133" t="s">
        <v>80</v>
      </c>
      <c r="B4" s="17"/>
      <c r="C4" s="134" t="s">
        <v>81</v>
      </c>
      <c r="D4" s="16"/>
      <c r="E4" s="17"/>
      <c r="F4" s="134" t="s">
        <v>82</v>
      </c>
      <c r="G4" s="16"/>
      <c r="H4" s="16"/>
      <c r="I4" s="16"/>
      <c r="J4" s="16"/>
      <c r="K4" s="17"/>
      <c r="L4" s="135" t="s">
        <v>101</v>
      </c>
      <c r="M4" s="16"/>
      <c r="N4" s="55"/>
      <c r="O4" s="134" t="s">
        <v>86</v>
      </c>
      <c r="P4" s="16"/>
      <c r="Q4" s="16"/>
      <c r="R4" s="16"/>
      <c r="S4" s="16"/>
      <c r="T4" s="132"/>
      <c r="U4" s="120"/>
      <c r="V4" s="121"/>
      <c r="W4" s="120"/>
      <c r="X4" s="120"/>
      <c r="Y4" s="120"/>
      <c r="Z4" s="120"/>
    </row>
    <row r="5" ht="13.5" customHeight="1">
      <c r="A5" s="136">
        <f>COUNTIF(F45:HQ45,"P")</f>
        <v>0</v>
      </c>
      <c r="B5" s="137"/>
      <c r="C5" s="138">
        <f>COUNTIF(F45:HQ45,"F")</f>
        <v>0</v>
      </c>
      <c r="D5" s="139"/>
      <c r="E5" s="137"/>
      <c r="F5" s="138">
        <f>SUM(O5,-A5,-C5)</f>
        <v>15</v>
      </c>
      <c r="G5" s="139"/>
      <c r="H5" s="139"/>
      <c r="I5" s="139"/>
      <c r="J5" s="139"/>
      <c r="K5" s="137"/>
      <c r="L5" s="140">
        <f>COUNTIF(E44:HQ44,"N")</f>
        <v>0</v>
      </c>
      <c r="M5" s="140">
        <f>COUNTIF(E44:HQ44,"A")</f>
        <v>0</v>
      </c>
      <c r="N5" s="140">
        <f>COUNTIF(E44:HQ44,"B")</f>
        <v>0</v>
      </c>
      <c r="O5" s="138">
        <f>COUNTA(E7:HT7)</f>
        <v>15</v>
      </c>
      <c r="P5" s="139"/>
      <c r="Q5" s="139"/>
      <c r="R5" s="139"/>
      <c r="S5" s="139"/>
      <c r="T5" s="141"/>
      <c r="U5" s="142"/>
      <c r="V5" s="120"/>
      <c r="W5" s="120"/>
      <c r="X5" s="120"/>
      <c r="Y5" s="120"/>
      <c r="Z5" s="120"/>
    </row>
    <row r="6" ht="9.75" customHeight="1">
      <c r="A6" s="120"/>
      <c r="B6" s="143"/>
      <c r="C6" s="120"/>
      <c r="D6" s="144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45.0" customHeight="1">
      <c r="A7" s="223"/>
      <c r="B7" s="275"/>
      <c r="C7" s="276"/>
      <c r="D7" s="277"/>
      <c r="E7" s="276"/>
      <c r="F7" s="278" t="s">
        <v>102</v>
      </c>
      <c r="G7" s="278" t="s">
        <v>103</v>
      </c>
      <c r="H7" s="278" t="s">
        <v>103</v>
      </c>
      <c r="I7" s="278" t="s">
        <v>103</v>
      </c>
      <c r="J7" s="278" t="s">
        <v>103</v>
      </c>
      <c r="K7" s="278" t="s">
        <v>103</v>
      </c>
      <c r="L7" s="278" t="s">
        <v>108</v>
      </c>
      <c r="M7" s="278" t="s">
        <v>109</v>
      </c>
      <c r="N7" s="278" t="s">
        <v>110</v>
      </c>
      <c r="O7" s="278" t="s">
        <v>111</v>
      </c>
      <c r="P7" s="278" t="s">
        <v>112</v>
      </c>
      <c r="Q7" s="278" t="s">
        <v>113</v>
      </c>
      <c r="R7" s="278" t="s">
        <v>114</v>
      </c>
      <c r="S7" s="278" t="s">
        <v>115</v>
      </c>
      <c r="T7" s="279" t="s">
        <v>116</v>
      </c>
      <c r="U7" s="151"/>
      <c r="V7" s="121"/>
      <c r="W7" s="120"/>
      <c r="X7" s="120"/>
      <c r="Y7" s="120"/>
      <c r="Z7" s="120"/>
    </row>
    <row r="8" ht="13.5" customHeight="1">
      <c r="A8" s="229" t="s">
        <v>117</v>
      </c>
      <c r="B8" s="230" t="s">
        <v>169</v>
      </c>
      <c r="C8" s="231"/>
      <c r="D8" s="232"/>
      <c r="E8" s="233"/>
      <c r="F8" s="234"/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5"/>
      <c r="U8" s="120"/>
      <c r="V8" s="120"/>
      <c r="W8" s="120"/>
      <c r="X8" s="120"/>
      <c r="Y8" s="120"/>
      <c r="Z8" s="120"/>
    </row>
    <row r="9" ht="13.5" customHeight="1">
      <c r="A9" s="236"/>
      <c r="B9" s="230"/>
      <c r="C9" s="231"/>
      <c r="D9" s="232"/>
      <c r="E9" s="237"/>
      <c r="F9" s="234"/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5"/>
      <c r="U9" s="120"/>
      <c r="V9" s="121"/>
      <c r="W9" s="120"/>
      <c r="X9" s="120"/>
      <c r="Y9" s="120"/>
      <c r="Z9" s="120"/>
    </row>
    <row r="10" ht="13.5" customHeight="1">
      <c r="A10" s="236"/>
      <c r="B10" s="230"/>
      <c r="C10" s="231"/>
      <c r="D10" s="232"/>
      <c r="E10" s="237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5"/>
      <c r="U10" s="120"/>
      <c r="V10" s="120"/>
      <c r="W10" s="120"/>
      <c r="X10" s="120"/>
      <c r="Y10" s="120"/>
      <c r="Z10" s="120"/>
    </row>
    <row r="11" ht="13.5" customHeight="1">
      <c r="A11" s="236"/>
      <c r="B11" s="230"/>
      <c r="C11" s="231"/>
      <c r="D11" s="232"/>
      <c r="E11" s="239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5"/>
      <c r="U11" s="120"/>
      <c r="V11" s="120"/>
      <c r="W11" s="120"/>
      <c r="X11" s="120"/>
      <c r="Y11" s="120"/>
      <c r="Z11" s="120"/>
    </row>
    <row r="12" ht="13.5" customHeight="1">
      <c r="A12" s="236"/>
      <c r="B12" s="230" t="s">
        <v>187</v>
      </c>
      <c r="C12" s="231"/>
      <c r="D12" s="232"/>
      <c r="E12" s="240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4"/>
      <c r="R12" s="234"/>
      <c r="S12" s="234"/>
      <c r="T12" s="235"/>
      <c r="U12" s="120"/>
      <c r="V12" s="120"/>
      <c r="W12" s="120"/>
      <c r="X12" s="120"/>
      <c r="Y12" s="120"/>
      <c r="Z12" s="120"/>
    </row>
    <row r="13" ht="13.5" customHeight="1">
      <c r="A13" s="236"/>
      <c r="B13" s="230"/>
      <c r="C13" s="231"/>
      <c r="D13" s="232">
        <v>-2.0</v>
      </c>
      <c r="E13" s="240"/>
      <c r="F13" s="234" t="s">
        <v>120</v>
      </c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5"/>
      <c r="U13" s="120"/>
      <c r="V13" s="120"/>
      <c r="W13" s="120"/>
      <c r="X13" s="120"/>
      <c r="Y13" s="120"/>
      <c r="Z13" s="120"/>
    </row>
    <row r="14" ht="13.5" customHeight="1">
      <c r="A14" s="236"/>
      <c r="B14" s="230"/>
      <c r="C14" s="231"/>
      <c r="D14" s="232">
        <v>-1.0</v>
      </c>
      <c r="E14" s="240"/>
      <c r="F14" s="234"/>
      <c r="G14" s="234"/>
      <c r="H14" s="234"/>
      <c r="I14" s="234"/>
      <c r="J14" s="234"/>
      <c r="K14" s="234"/>
      <c r="L14" s="234" t="s">
        <v>120</v>
      </c>
      <c r="M14" s="234"/>
      <c r="N14" s="234"/>
      <c r="O14" s="234"/>
      <c r="P14" s="234"/>
      <c r="Q14" s="234"/>
      <c r="R14" s="234"/>
      <c r="S14" s="234"/>
      <c r="T14" s="235"/>
      <c r="U14" s="120"/>
      <c r="V14" s="120"/>
      <c r="W14" s="120"/>
      <c r="X14" s="120"/>
      <c r="Y14" s="120"/>
      <c r="Z14" s="120"/>
    </row>
    <row r="15" ht="13.5" customHeight="1">
      <c r="A15" s="236"/>
      <c r="B15" s="230"/>
      <c r="C15" s="231"/>
      <c r="D15" s="232">
        <v>0.0</v>
      </c>
      <c r="E15" s="240"/>
      <c r="F15" s="234"/>
      <c r="G15" s="234" t="s">
        <v>120</v>
      </c>
      <c r="H15" s="234" t="s">
        <v>120</v>
      </c>
      <c r="I15" s="234" t="s">
        <v>120</v>
      </c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5"/>
      <c r="U15" s="241"/>
      <c r="V15" s="120"/>
      <c r="W15" s="120"/>
      <c r="X15" s="120"/>
      <c r="Y15" s="120"/>
      <c r="Z15" s="120"/>
    </row>
    <row r="16" ht="13.5" customHeight="1">
      <c r="A16" s="236"/>
      <c r="B16" s="230"/>
      <c r="C16" s="231"/>
      <c r="D16" s="232">
        <v>1.0</v>
      </c>
      <c r="E16" s="240"/>
      <c r="F16" s="234"/>
      <c r="G16" s="234"/>
      <c r="H16" s="234"/>
      <c r="I16" s="234"/>
      <c r="J16" s="234" t="s">
        <v>120</v>
      </c>
      <c r="K16" s="234" t="s">
        <v>120</v>
      </c>
      <c r="L16" s="234"/>
      <c r="M16" s="234"/>
      <c r="N16" s="234"/>
      <c r="O16" s="234"/>
      <c r="P16" s="234"/>
      <c r="Q16" s="234"/>
      <c r="R16" s="234"/>
      <c r="S16" s="234"/>
      <c r="T16" s="235"/>
      <c r="U16" s="241"/>
      <c r="V16" s="120"/>
      <c r="W16" s="120"/>
      <c r="X16" s="120"/>
      <c r="Y16" s="120"/>
      <c r="Z16" s="120"/>
    </row>
    <row r="17" ht="13.5" customHeight="1">
      <c r="A17" s="236"/>
      <c r="B17" s="230" t="s">
        <v>188</v>
      </c>
      <c r="C17" s="231"/>
      <c r="D17" s="232"/>
      <c r="E17" s="240"/>
      <c r="F17" s="234"/>
      <c r="G17" s="234"/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35"/>
      <c r="U17" s="241"/>
      <c r="V17" s="120"/>
      <c r="W17" s="120"/>
      <c r="X17" s="120"/>
      <c r="Y17" s="120"/>
      <c r="Z17" s="120"/>
    </row>
    <row r="18" ht="13.5" customHeight="1">
      <c r="A18" s="236"/>
      <c r="B18" s="230"/>
      <c r="C18" s="231"/>
      <c r="D18" s="144">
        <v>0.0</v>
      </c>
      <c r="F18" s="234"/>
      <c r="G18" s="234" t="s">
        <v>120</v>
      </c>
      <c r="H18" s="234" t="s">
        <v>120</v>
      </c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5"/>
      <c r="U18" s="120"/>
      <c r="V18" s="120"/>
      <c r="W18" s="120"/>
      <c r="X18" s="120"/>
      <c r="Y18" s="120"/>
      <c r="Z18" s="120"/>
    </row>
    <row r="19" ht="13.5" customHeight="1">
      <c r="A19" s="236"/>
      <c r="B19" s="230"/>
      <c r="C19" s="231"/>
      <c r="D19" s="232">
        <v>-2.0</v>
      </c>
      <c r="E19" s="240"/>
      <c r="F19" s="234"/>
      <c r="G19" s="234"/>
      <c r="H19" s="234"/>
      <c r="I19" s="234"/>
      <c r="J19" s="234" t="s">
        <v>120</v>
      </c>
      <c r="K19" s="234" t="s">
        <v>120</v>
      </c>
      <c r="L19" s="234" t="s">
        <v>120</v>
      </c>
      <c r="M19" s="234"/>
      <c r="N19" s="234"/>
      <c r="O19" s="234"/>
      <c r="P19" s="234"/>
      <c r="Q19" s="234"/>
      <c r="R19" s="234"/>
      <c r="S19" s="234"/>
      <c r="T19" s="235"/>
      <c r="U19" s="120"/>
      <c r="V19" s="120"/>
      <c r="W19" s="120"/>
      <c r="X19" s="120"/>
      <c r="Y19" s="120"/>
      <c r="Z19" s="120"/>
    </row>
    <row r="20" ht="13.5" customHeight="1">
      <c r="A20" s="236"/>
      <c r="B20" s="230"/>
      <c r="C20" s="231"/>
      <c r="D20" s="232">
        <v>2.0</v>
      </c>
      <c r="E20" s="240"/>
      <c r="F20" s="234"/>
      <c r="G20" s="234"/>
      <c r="H20" s="234"/>
      <c r="I20" s="234" t="s">
        <v>120</v>
      </c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5"/>
      <c r="U20" s="120"/>
      <c r="V20" s="120"/>
      <c r="W20" s="120"/>
      <c r="X20" s="120"/>
      <c r="Y20" s="120"/>
      <c r="Z20" s="120"/>
    </row>
    <row r="21" ht="13.5" customHeight="1">
      <c r="A21" s="236"/>
      <c r="B21" s="230" t="s">
        <v>189</v>
      </c>
      <c r="C21" s="231"/>
      <c r="D21" s="232"/>
      <c r="E21" s="240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34"/>
      <c r="T21" s="235"/>
      <c r="U21" s="120"/>
      <c r="V21" s="120"/>
      <c r="W21" s="120"/>
      <c r="X21" s="120"/>
      <c r="Y21" s="120"/>
      <c r="Z21" s="120"/>
    </row>
    <row r="22" ht="13.5" customHeight="1">
      <c r="A22" s="236"/>
      <c r="B22" s="230"/>
      <c r="C22" s="231"/>
      <c r="D22" s="232">
        <v>0.0</v>
      </c>
      <c r="E22" s="240"/>
      <c r="F22" s="234"/>
      <c r="G22" s="234" t="s">
        <v>120</v>
      </c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5"/>
      <c r="U22" s="120"/>
      <c r="V22" s="120"/>
      <c r="W22" s="120"/>
      <c r="X22" s="120"/>
      <c r="Y22" s="120"/>
      <c r="Z22" s="120"/>
    </row>
    <row r="23" ht="13.5" customHeight="1">
      <c r="A23" s="236"/>
      <c r="B23" s="230"/>
      <c r="C23" s="231"/>
      <c r="D23" s="232">
        <v>1.0</v>
      </c>
      <c r="E23" s="240"/>
      <c r="F23" s="234"/>
      <c r="G23" s="234"/>
      <c r="H23" s="234" t="s">
        <v>120</v>
      </c>
      <c r="I23" s="234" t="s">
        <v>120</v>
      </c>
      <c r="J23" s="234" t="s">
        <v>120</v>
      </c>
      <c r="K23" s="234"/>
      <c r="L23" s="234"/>
      <c r="M23" s="234"/>
      <c r="N23" s="234"/>
      <c r="O23" s="234"/>
      <c r="P23" s="234"/>
      <c r="Q23" s="234"/>
      <c r="R23" s="234"/>
      <c r="S23" s="234"/>
      <c r="T23" s="235"/>
      <c r="U23" s="120"/>
      <c r="V23" s="120"/>
      <c r="W23" s="120"/>
      <c r="X23" s="120"/>
      <c r="Y23" s="120"/>
      <c r="Z23" s="120"/>
    </row>
    <row r="24" ht="13.5" customHeight="1">
      <c r="A24" s="236"/>
      <c r="B24" s="230"/>
      <c r="C24" s="231"/>
      <c r="D24" s="232">
        <v>3.0</v>
      </c>
      <c r="E24" s="240"/>
      <c r="F24" s="234"/>
      <c r="G24" s="234"/>
      <c r="H24" s="234"/>
      <c r="I24" s="234"/>
      <c r="J24" s="234"/>
      <c r="K24" s="234"/>
      <c r="L24" s="234" t="s">
        <v>120</v>
      </c>
      <c r="M24" s="234"/>
      <c r="N24" s="234"/>
      <c r="O24" s="234"/>
      <c r="P24" s="234"/>
      <c r="Q24" s="234"/>
      <c r="R24" s="234"/>
      <c r="S24" s="234"/>
      <c r="T24" s="235"/>
      <c r="U24" s="120"/>
      <c r="V24" s="120"/>
      <c r="W24" s="120"/>
      <c r="X24" s="120"/>
      <c r="Y24" s="120"/>
      <c r="Z24" s="120"/>
    </row>
    <row r="25" ht="13.5" customHeight="1">
      <c r="A25" s="236"/>
      <c r="B25" s="230"/>
      <c r="C25" s="231"/>
      <c r="D25" s="232">
        <v>5.0</v>
      </c>
      <c r="E25" s="240"/>
      <c r="F25" s="234"/>
      <c r="G25" s="234"/>
      <c r="H25" s="234"/>
      <c r="I25" s="234"/>
      <c r="J25" s="234"/>
      <c r="K25" s="234" t="s">
        <v>120</v>
      </c>
      <c r="L25" s="234"/>
      <c r="M25" s="234"/>
      <c r="N25" s="234"/>
      <c r="O25" s="234"/>
      <c r="P25" s="234"/>
      <c r="Q25" s="234"/>
      <c r="R25" s="234"/>
      <c r="S25" s="234"/>
      <c r="T25" s="235"/>
      <c r="U25" s="120"/>
      <c r="V25" s="120"/>
      <c r="W25" s="120"/>
      <c r="X25" s="120"/>
      <c r="Y25" s="120"/>
      <c r="Z25" s="120"/>
    </row>
    <row r="26" ht="13.5" customHeight="1">
      <c r="A26" s="236"/>
      <c r="B26" s="230"/>
      <c r="C26" s="231"/>
      <c r="D26" s="232"/>
      <c r="E26" s="240"/>
      <c r="F26" s="234"/>
      <c r="G26" s="234"/>
      <c r="H26" s="234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5"/>
      <c r="U26" s="120"/>
      <c r="V26" s="120"/>
      <c r="W26" s="120"/>
      <c r="X26" s="120"/>
      <c r="Y26" s="120"/>
      <c r="Z26" s="120"/>
    </row>
    <row r="27" ht="13.5" customHeight="1">
      <c r="A27" s="236"/>
      <c r="B27" s="230"/>
      <c r="C27" s="231"/>
      <c r="D27" s="232"/>
      <c r="E27" s="240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5"/>
      <c r="U27" s="120"/>
      <c r="V27" s="120"/>
      <c r="W27" s="120"/>
      <c r="X27" s="120"/>
      <c r="Y27" s="120"/>
      <c r="Z27" s="120"/>
    </row>
    <row r="28" ht="13.5" customHeight="1">
      <c r="A28" s="236"/>
      <c r="B28" s="230"/>
      <c r="C28" s="231"/>
      <c r="D28" s="232"/>
      <c r="E28" s="240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34"/>
      <c r="T28" s="235"/>
      <c r="U28" s="120"/>
      <c r="V28" s="120"/>
      <c r="W28" s="120"/>
      <c r="X28" s="120"/>
      <c r="Y28" s="120"/>
      <c r="Z28" s="120"/>
    </row>
    <row r="29" ht="13.5" customHeight="1">
      <c r="A29" s="236"/>
      <c r="B29" s="230"/>
      <c r="C29" s="231"/>
      <c r="D29" s="232"/>
      <c r="E29" s="240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34"/>
      <c r="T29" s="235"/>
      <c r="U29" s="120"/>
      <c r="V29" s="120"/>
      <c r="W29" s="120"/>
      <c r="X29" s="120"/>
      <c r="Y29" s="120"/>
      <c r="Z29" s="120"/>
    </row>
    <row r="30" ht="13.5" customHeight="1">
      <c r="A30" s="236"/>
      <c r="B30" s="242"/>
      <c r="C30" s="243"/>
      <c r="D30" s="244"/>
      <c r="E30" s="245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0"/>
      <c r="V30" s="120"/>
      <c r="W30" s="120"/>
      <c r="X30" s="120"/>
      <c r="Y30" s="120"/>
      <c r="Z30" s="120"/>
    </row>
    <row r="31" ht="13.5" customHeight="1">
      <c r="A31" s="248" t="s">
        <v>146</v>
      </c>
      <c r="B31" s="249" t="s">
        <v>147</v>
      </c>
      <c r="C31" s="250"/>
      <c r="D31" s="251"/>
      <c r="E31" s="252"/>
      <c r="F31" s="253"/>
      <c r="G31" s="253"/>
      <c r="H31" s="253"/>
      <c r="I31" s="253"/>
      <c r="J31" s="253"/>
      <c r="K31" s="253"/>
      <c r="L31" s="253"/>
      <c r="M31" s="253"/>
      <c r="N31" s="253"/>
      <c r="O31" s="253"/>
      <c r="P31" s="253"/>
      <c r="Q31" s="253"/>
      <c r="R31" s="253"/>
      <c r="S31" s="253"/>
      <c r="T31" s="254"/>
      <c r="U31" s="120"/>
      <c r="V31" s="120"/>
      <c r="W31" s="120"/>
      <c r="X31" s="120"/>
      <c r="Y31" s="120"/>
      <c r="Z31" s="120"/>
    </row>
    <row r="32" ht="13.5" customHeight="1">
      <c r="A32" s="210"/>
      <c r="B32" s="280" t="s">
        <v>190</v>
      </c>
      <c r="C32" s="256"/>
      <c r="D32" s="257"/>
      <c r="E32" s="258"/>
      <c r="F32" s="234"/>
      <c r="G32" s="234"/>
      <c r="H32" s="234"/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5"/>
      <c r="U32" s="120"/>
      <c r="V32" s="120"/>
      <c r="W32" s="120"/>
      <c r="X32" s="120"/>
      <c r="Y32" s="120"/>
      <c r="Z32" s="120"/>
    </row>
    <row r="33" ht="13.5" customHeight="1">
      <c r="A33" s="210"/>
      <c r="B33" s="280"/>
      <c r="C33" s="256"/>
      <c r="D33" s="257" t="s">
        <v>123</v>
      </c>
      <c r="E33" s="258"/>
      <c r="F33" s="234" t="s">
        <v>120</v>
      </c>
      <c r="G33" s="234"/>
      <c r="H33" s="234" t="s">
        <v>120</v>
      </c>
      <c r="I33" s="234"/>
      <c r="J33" s="234"/>
      <c r="K33" s="234" t="s">
        <v>120</v>
      </c>
      <c r="L33" s="234"/>
      <c r="M33" s="234"/>
      <c r="N33" s="234"/>
      <c r="O33" s="234"/>
      <c r="P33" s="234"/>
      <c r="Q33" s="234"/>
      <c r="R33" s="234"/>
      <c r="S33" s="234"/>
      <c r="T33" s="235"/>
      <c r="U33" s="120"/>
      <c r="V33" s="120"/>
      <c r="W33" s="120"/>
      <c r="X33" s="120"/>
      <c r="Y33" s="120"/>
      <c r="Z33" s="120"/>
    </row>
    <row r="34" ht="13.5" customHeight="1">
      <c r="A34" s="210"/>
      <c r="B34" s="280"/>
      <c r="C34" s="256"/>
      <c r="D34" s="257" t="s">
        <v>191</v>
      </c>
      <c r="E34" s="258"/>
      <c r="F34" s="234"/>
      <c r="G34" s="234" t="s">
        <v>120</v>
      </c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5"/>
      <c r="U34" s="120"/>
      <c r="V34" s="120"/>
      <c r="W34" s="120"/>
      <c r="X34" s="120"/>
      <c r="Y34" s="120"/>
      <c r="Z34" s="120"/>
    </row>
    <row r="35" ht="13.5" customHeight="1">
      <c r="A35" s="210"/>
      <c r="B35" s="280"/>
      <c r="C35" s="256"/>
      <c r="D35" s="257" t="s">
        <v>192</v>
      </c>
      <c r="E35" s="258"/>
      <c r="F35" s="234"/>
      <c r="G35" s="234"/>
      <c r="H35" s="234"/>
      <c r="I35" s="234" t="s">
        <v>120</v>
      </c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35"/>
      <c r="U35" s="120"/>
      <c r="V35" s="120"/>
      <c r="W35" s="120"/>
      <c r="X35" s="120"/>
      <c r="Y35" s="120"/>
      <c r="Z35" s="120"/>
    </row>
    <row r="36" ht="13.5" customHeight="1">
      <c r="A36" s="210"/>
      <c r="B36" s="280"/>
      <c r="C36" s="256"/>
      <c r="D36" s="257" t="s">
        <v>193</v>
      </c>
      <c r="E36" s="258"/>
      <c r="F36" s="234"/>
      <c r="G36" s="234"/>
      <c r="H36" s="234"/>
      <c r="I36" s="234"/>
      <c r="J36" s="234" t="s">
        <v>120</v>
      </c>
      <c r="K36" s="234"/>
      <c r="L36" s="234"/>
      <c r="M36" s="234"/>
      <c r="N36" s="234"/>
      <c r="O36" s="234"/>
      <c r="P36" s="234"/>
      <c r="Q36" s="234"/>
      <c r="R36" s="234"/>
      <c r="S36" s="234"/>
      <c r="T36" s="235"/>
      <c r="U36" s="120"/>
      <c r="V36" s="120"/>
      <c r="W36" s="120"/>
      <c r="X36" s="120"/>
      <c r="Y36" s="120"/>
      <c r="Z36" s="120"/>
    </row>
    <row r="37" ht="13.5" customHeight="1">
      <c r="A37" s="210"/>
      <c r="B37" s="255"/>
      <c r="C37" s="259"/>
      <c r="D37" s="257" t="s">
        <v>194</v>
      </c>
      <c r="E37" s="260"/>
      <c r="F37" s="234"/>
      <c r="G37" s="234"/>
      <c r="H37" s="234"/>
      <c r="I37" s="234"/>
      <c r="J37" s="234"/>
      <c r="K37" s="234"/>
      <c r="L37" s="234" t="s">
        <v>120</v>
      </c>
      <c r="M37" s="234"/>
      <c r="N37" s="234"/>
      <c r="O37" s="234"/>
      <c r="P37" s="234"/>
      <c r="Q37" s="234"/>
      <c r="R37" s="234"/>
      <c r="S37" s="234"/>
      <c r="T37" s="235"/>
      <c r="U37" s="120"/>
      <c r="V37" s="120"/>
      <c r="W37" s="120"/>
      <c r="X37" s="120"/>
      <c r="Y37" s="120"/>
      <c r="Z37" s="120"/>
    </row>
    <row r="38" ht="13.5" customHeight="1">
      <c r="A38" s="210"/>
      <c r="B38" s="255" t="s">
        <v>157</v>
      </c>
      <c r="C38" s="259"/>
      <c r="D38" s="257"/>
      <c r="E38" s="260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5"/>
      <c r="U38" s="120"/>
      <c r="V38" s="120"/>
      <c r="W38" s="120"/>
      <c r="X38" s="120"/>
      <c r="Y38" s="120"/>
      <c r="Z38" s="120"/>
    </row>
    <row r="39" ht="13.5" customHeight="1">
      <c r="A39" s="210"/>
      <c r="B39" s="255"/>
      <c r="C39" s="259"/>
      <c r="D39" s="257"/>
      <c r="E39" s="260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4"/>
      <c r="S39" s="234"/>
      <c r="T39" s="235"/>
      <c r="U39" s="120"/>
      <c r="V39" s="120"/>
      <c r="W39" s="120"/>
      <c r="X39" s="120"/>
      <c r="Y39" s="120"/>
      <c r="Z39" s="120"/>
    </row>
    <row r="40" ht="13.5" customHeight="1">
      <c r="A40" s="210"/>
      <c r="B40" s="255" t="s">
        <v>159</v>
      </c>
      <c r="C40" s="259"/>
      <c r="D40" s="257"/>
      <c r="E40" s="260"/>
      <c r="F40" s="234"/>
      <c r="G40" s="234"/>
      <c r="H40" s="234"/>
      <c r="I40" s="234"/>
      <c r="J40" s="234"/>
      <c r="K40" s="234"/>
      <c r="L40" s="234"/>
      <c r="M40" s="234"/>
      <c r="N40" s="234"/>
      <c r="O40" s="234"/>
      <c r="P40" s="234"/>
      <c r="Q40" s="234"/>
      <c r="R40" s="234"/>
      <c r="S40" s="234"/>
      <c r="T40" s="235"/>
      <c r="U40" s="120"/>
      <c r="V40" s="120"/>
      <c r="W40" s="120"/>
      <c r="X40" s="120"/>
      <c r="Y40" s="120"/>
      <c r="Z40" s="120"/>
    </row>
    <row r="41" ht="13.5" customHeight="1">
      <c r="A41" s="210"/>
      <c r="B41" s="255"/>
      <c r="C41" s="259"/>
      <c r="D41" s="257" t="s">
        <v>195</v>
      </c>
      <c r="E41" s="260"/>
      <c r="F41" s="234" t="s">
        <v>120</v>
      </c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34"/>
      <c r="T41" s="235"/>
      <c r="U41" s="120"/>
      <c r="V41" s="120"/>
      <c r="W41" s="120"/>
      <c r="X41" s="120"/>
      <c r="Y41" s="120"/>
      <c r="Z41" s="120"/>
    </row>
    <row r="42" ht="13.5" customHeight="1">
      <c r="A42" s="210"/>
      <c r="B42" s="261"/>
      <c r="C42" s="262"/>
      <c r="D42" s="263"/>
      <c r="E42" s="264"/>
      <c r="F42" s="265"/>
      <c r="G42" s="265"/>
      <c r="H42" s="265"/>
      <c r="I42" s="265"/>
      <c r="J42" s="265"/>
      <c r="K42" s="265"/>
      <c r="L42" s="265"/>
      <c r="M42" s="265"/>
      <c r="N42" s="265"/>
      <c r="O42" s="265"/>
      <c r="P42" s="265"/>
      <c r="Q42" s="265"/>
      <c r="R42" s="265"/>
      <c r="S42" s="265"/>
      <c r="T42" s="266"/>
      <c r="U42" s="120"/>
      <c r="V42" s="120"/>
      <c r="W42" s="120"/>
      <c r="X42" s="120"/>
      <c r="Y42" s="120"/>
      <c r="Z42" s="120"/>
    </row>
    <row r="43" ht="13.5" customHeight="1">
      <c r="A43" s="248" t="s">
        <v>160</v>
      </c>
      <c r="B43" s="267" t="s">
        <v>161</v>
      </c>
      <c r="C43" s="189"/>
      <c r="D43" s="190"/>
      <c r="E43" s="268"/>
      <c r="F43" s="269" t="s">
        <v>84</v>
      </c>
      <c r="G43" s="269" t="s">
        <v>83</v>
      </c>
      <c r="H43" s="269" t="s">
        <v>83</v>
      </c>
      <c r="I43" s="269" t="s">
        <v>83</v>
      </c>
      <c r="J43" s="269" t="s">
        <v>83</v>
      </c>
      <c r="K43" s="269" t="s">
        <v>83</v>
      </c>
      <c r="L43" s="269" t="s">
        <v>85</v>
      </c>
      <c r="M43" s="269"/>
      <c r="N43" s="269"/>
      <c r="O43" s="269"/>
      <c r="P43" s="269"/>
      <c r="Q43" s="269"/>
      <c r="R43" s="269"/>
      <c r="S43" s="269"/>
      <c r="T43" s="270"/>
      <c r="U43" s="120"/>
      <c r="V43" s="120"/>
      <c r="W43" s="120"/>
      <c r="X43" s="120"/>
      <c r="Y43" s="120"/>
      <c r="Z43" s="120"/>
    </row>
    <row r="44" ht="13.5" customHeight="1">
      <c r="A44" s="281"/>
      <c r="B44" s="271" t="s">
        <v>162</v>
      </c>
      <c r="C44" s="16"/>
      <c r="D44" s="17"/>
      <c r="E44" s="272"/>
      <c r="F44" s="273"/>
      <c r="G44" s="273"/>
      <c r="H44" s="273"/>
      <c r="I44" s="273"/>
      <c r="J44" s="273"/>
      <c r="K44" s="273"/>
      <c r="L44" s="273"/>
      <c r="M44" s="273"/>
      <c r="N44" s="273"/>
      <c r="O44" s="273"/>
      <c r="P44" s="273"/>
      <c r="Q44" s="273"/>
      <c r="R44" s="273"/>
      <c r="S44" s="273"/>
      <c r="T44" s="274"/>
      <c r="U44" s="120"/>
      <c r="V44" s="120"/>
      <c r="W44" s="120"/>
      <c r="X44" s="120"/>
      <c r="Y44" s="120"/>
      <c r="Z44" s="120"/>
    </row>
    <row r="45" ht="13.5" customHeight="1">
      <c r="A45" s="281"/>
      <c r="B45" s="211" t="s">
        <v>164</v>
      </c>
      <c r="C45" s="16"/>
      <c r="D45" s="17"/>
      <c r="E45" s="212"/>
      <c r="F45" s="213">
        <v>39139.0</v>
      </c>
      <c r="G45" s="213">
        <v>39139.0</v>
      </c>
      <c r="H45" s="213">
        <v>39139.0</v>
      </c>
      <c r="I45" s="213">
        <v>39139.0</v>
      </c>
      <c r="J45" s="213">
        <v>39139.0</v>
      </c>
      <c r="K45" s="213">
        <v>39139.0</v>
      </c>
      <c r="L45" s="213">
        <v>39144.0</v>
      </c>
      <c r="M45" s="213"/>
      <c r="N45" s="213"/>
      <c r="O45" s="213"/>
      <c r="P45" s="213"/>
      <c r="Q45" s="213"/>
      <c r="R45" s="213"/>
      <c r="S45" s="213"/>
      <c r="T45" s="214"/>
      <c r="U45" s="120"/>
      <c r="V45" s="120"/>
      <c r="W45" s="120"/>
      <c r="X45" s="120"/>
      <c r="Y45" s="120"/>
      <c r="Z45" s="120"/>
    </row>
    <row r="46" ht="9.75" customHeight="1">
      <c r="A46" s="282"/>
      <c r="B46" s="216" t="s">
        <v>166</v>
      </c>
      <c r="C46" s="205"/>
      <c r="D46" s="206"/>
      <c r="E46" s="217"/>
      <c r="F46" s="218"/>
      <c r="G46" s="218"/>
      <c r="H46" s="218"/>
      <c r="I46" s="218"/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9"/>
      <c r="U46" s="120"/>
      <c r="V46" s="120"/>
      <c r="W46" s="120"/>
      <c r="X46" s="120"/>
      <c r="Y46" s="120"/>
      <c r="Z46" s="120"/>
    </row>
    <row r="47" ht="9.75" customHeight="1">
      <c r="A47" s="143"/>
      <c r="B47" s="120"/>
      <c r="C47" s="144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3.5" customHeight="1">
      <c r="A48" s="120"/>
      <c r="B48" s="143"/>
      <c r="C48" s="120"/>
      <c r="D48" s="144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3.5" customHeight="1">
      <c r="A49" s="120"/>
      <c r="B49" s="143"/>
      <c r="C49" s="120"/>
      <c r="D49" s="144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3.5" customHeight="1">
      <c r="A50" s="120"/>
      <c r="B50" s="143"/>
      <c r="C50" s="120"/>
      <c r="D50" s="144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3.5" customHeight="1">
      <c r="A51" s="120"/>
      <c r="B51" s="143"/>
      <c r="C51" s="120"/>
      <c r="D51" s="144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3.5" customHeight="1">
      <c r="A52" s="120"/>
      <c r="B52" s="143"/>
      <c r="C52" s="120"/>
      <c r="D52" s="144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3.5" customHeight="1">
      <c r="A53" s="120"/>
      <c r="B53" s="143"/>
      <c r="C53" s="120"/>
      <c r="D53" s="144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3.5" customHeight="1">
      <c r="A54" s="120"/>
      <c r="B54" s="143"/>
      <c r="C54" s="120"/>
      <c r="D54" s="144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3.5" customHeight="1">
      <c r="A55" s="120"/>
      <c r="B55" s="143"/>
      <c r="C55" s="120"/>
      <c r="D55" s="144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3.5" customHeight="1">
      <c r="A56" s="120"/>
      <c r="B56" s="143"/>
      <c r="C56" s="120"/>
      <c r="D56" s="144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3.5" customHeight="1">
      <c r="A57" s="120"/>
      <c r="B57" s="143"/>
      <c r="C57" s="120"/>
      <c r="D57" s="144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3.5" customHeight="1">
      <c r="A58" s="120"/>
      <c r="B58" s="143"/>
      <c r="C58" s="120"/>
      <c r="D58" s="144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3.5" customHeight="1">
      <c r="A59" s="120"/>
      <c r="B59" s="143"/>
      <c r="C59" s="120"/>
      <c r="D59" s="144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3.5" customHeight="1">
      <c r="A60" s="120"/>
      <c r="B60" s="143"/>
      <c r="C60" s="120"/>
      <c r="D60" s="144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3.5" customHeight="1">
      <c r="A61" s="120"/>
      <c r="B61" s="143"/>
      <c r="C61" s="120"/>
      <c r="D61" s="144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3.5" customHeight="1">
      <c r="A62" s="120"/>
      <c r="B62" s="143"/>
      <c r="C62" s="120"/>
      <c r="D62" s="144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3.5" customHeight="1">
      <c r="A63" s="120"/>
      <c r="B63" s="143"/>
      <c r="C63" s="120"/>
      <c r="D63" s="144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3.5" customHeight="1">
      <c r="A64" s="120"/>
      <c r="B64" s="143"/>
      <c r="C64" s="120"/>
      <c r="D64" s="144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3.5" customHeight="1">
      <c r="A65" s="120"/>
      <c r="B65" s="143"/>
      <c r="C65" s="120"/>
      <c r="D65" s="144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3.5" customHeight="1">
      <c r="A66" s="120"/>
      <c r="B66" s="143"/>
      <c r="C66" s="120"/>
      <c r="D66" s="144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3.5" customHeight="1">
      <c r="A67" s="120"/>
      <c r="B67" s="143"/>
      <c r="C67" s="120"/>
      <c r="D67" s="144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3.5" customHeight="1">
      <c r="A68" s="120"/>
      <c r="B68" s="143"/>
      <c r="C68" s="120"/>
      <c r="D68" s="144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3.5" customHeight="1">
      <c r="A69" s="120"/>
      <c r="B69" s="143"/>
      <c r="C69" s="120"/>
      <c r="D69" s="144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3.5" customHeight="1">
      <c r="A70" s="120"/>
      <c r="B70" s="143"/>
      <c r="C70" s="120"/>
      <c r="D70" s="144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3.5" customHeight="1">
      <c r="A71" s="120"/>
      <c r="B71" s="143"/>
      <c r="C71" s="120"/>
      <c r="D71" s="144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3.5" customHeight="1">
      <c r="A72" s="120"/>
      <c r="B72" s="143"/>
      <c r="C72" s="120"/>
      <c r="D72" s="144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3.5" customHeight="1">
      <c r="A73" s="120"/>
      <c r="B73" s="143"/>
      <c r="C73" s="120"/>
      <c r="D73" s="144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3.5" customHeight="1">
      <c r="A74" s="120"/>
      <c r="B74" s="143"/>
      <c r="C74" s="120"/>
      <c r="D74" s="144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3.5" customHeight="1">
      <c r="A75" s="120"/>
      <c r="B75" s="143"/>
      <c r="C75" s="120"/>
      <c r="D75" s="144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3.5" customHeight="1">
      <c r="A76" s="120"/>
      <c r="B76" s="143"/>
      <c r="C76" s="120"/>
      <c r="D76" s="144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3.5" customHeight="1">
      <c r="A77" s="120"/>
      <c r="B77" s="143"/>
      <c r="C77" s="120"/>
      <c r="D77" s="144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3.5" customHeight="1">
      <c r="A78" s="120"/>
      <c r="B78" s="143"/>
      <c r="C78" s="120"/>
      <c r="D78" s="144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3.5" customHeight="1">
      <c r="A79" s="120"/>
      <c r="B79" s="143"/>
      <c r="C79" s="120"/>
      <c r="D79" s="144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3.5" customHeight="1">
      <c r="A80" s="120"/>
      <c r="B80" s="143"/>
      <c r="C80" s="120"/>
      <c r="D80" s="14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3.5" customHeight="1">
      <c r="A81" s="120"/>
      <c r="B81" s="143"/>
      <c r="C81" s="120"/>
      <c r="D81" s="144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3.5" customHeight="1">
      <c r="A82" s="120"/>
      <c r="B82" s="143"/>
      <c r="C82" s="120"/>
      <c r="D82" s="144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3.5" customHeight="1">
      <c r="A83" s="120"/>
      <c r="B83" s="143"/>
      <c r="C83" s="120"/>
      <c r="D83" s="144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3.5" customHeight="1">
      <c r="A84" s="120"/>
      <c r="B84" s="143"/>
      <c r="C84" s="120"/>
      <c r="D84" s="144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3.5" customHeight="1">
      <c r="A85" s="120"/>
      <c r="B85" s="143"/>
      <c r="C85" s="120"/>
      <c r="D85" s="144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3.5" customHeight="1">
      <c r="A86" s="120"/>
      <c r="B86" s="143"/>
      <c r="C86" s="120"/>
      <c r="D86" s="144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3.5" customHeight="1">
      <c r="A87" s="120"/>
      <c r="B87" s="143"/>
      <c r="C87" s="120"/>
      <c r="D87" s="144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3.5" customHeight="1">
      <c r="A88" s="120"/>
      <c r="B88" s="143"/>
      <c r="C88" s="120"/>
      <c r="D88" s="144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3.5" customHeight="1">
      <c r="A89" s="120"/>
      <c r="B89" s="143"/>
      <c r="C89" s="120"/>
      <c r="D89" s="144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3.5" customHeight="1">
      <c r="A90" s="120"/>
      <c r="B90" s="143"/>
      <c r="C90" s="120"/>
      <c r="D90" s="144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3.5" customHeight="1">
      <c r="A91" s="120"/>
      <c r="B91" s="143"/>
      <c r="C91" s="120"/>
      <c r="D91" s="144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3.5" customHeight="1">
      <c r="A92" s="120"/>
      <c r="B92" s="143"/>
      <c r="C92" s="120"/>
      <c r="D92" s="144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3.5" customHeight="1">
      <c r="A93" s="120"/>
      <c r="B93" s="143"/>
      <c r="C93" s="120"/>
      <c r="D93" s="144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3.5" customHeight="1">
      <c r="A94" s="120"/>
      <c r="B94" s="143"/>
      <c r="C94" s="120"/>
      <c r="D94" s="144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3.5" customHeight="1">
      <c r="A95" s="120"/>
      <c r="B95" s="143"/>
      <c r="C95" s="120"/>
      <c r="D95" s="144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3.5" customHeight="1">
      <c r="A96" s="120"/>
      <c r="B96" s="143"/>
      <c r="C96" s="120"/>
      <c r="D96" s="144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3.5" customHeight="1">
      <c r="A97" s="120"/>
      <c r="B97" s="143"/>
      <c r="C97" s="120"/>
      <c r="D97" s="144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3.5" customHeight="1">
      <c r="A98" s="120"/>
      <c r="B98" s="143"/>
      <c r="C98" s="120"/>
      <c r="D98" s="144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3.5" customHeight="1">
      <c r="A99" s="120"/>
      <c r="B99" s="143"/>
      <c r="C99" s="120"/>
      <c r="D99" s="144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3.5" customHeight="1">
      <c r="A100" s="120"/>
      <c r="B100" s="143"/>
      <c r="C100" s="120"/>
      <c r="D100" s="144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3.5" customHeight="1">
      <c r="A101" s="120"/>
      <c r="B101" s="143"/>
      <c r="C101" s="120"/>
      <c r="D101" s="144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3.5" customHeight="1">
      <c r="A102" s="120"/>
      <c r="B102" s="143"/>
      <c r="C102" s="120"/>
      <c r="D102" s="144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3.5" customHeight="1">
      <c r="A103" s="120"/>
      <c r="B103" s="143"/>
      <c r="C103" s="120"/>
      <c r="D103" s="144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3.5" customHeight="1">
      <c r="A104" s="120"/>
      <c r="B104" s="143"/>
      <c r="C104" s="120"/>
      <c r="D104" s="144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3.5" customHeight="1">
      <c r="A105" s="120"/>
      <c r="B105" s="143"/>
      <c r="C105" s="120"/>
      <c r="D105" s="144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3.5" customHeight="1">
      <c r="A106" s="120"/>
      <c r="B106" s="143"/>
      <c r="C106" s="120"/>
      <c r="D106" s="144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3.5" customHeight="1">
      <c r="A107" s="120"/>
      <c r="B107" s="143"/>
      <c r="C107" s="120"/>
      <c r="D107" s="144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3.5" customHeight="1">
      <c r="A108" s="120"/>
      <c r="B108" s="143"/>
      <c r="C108" s="120"/>
      <c r="D108" s="144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3.5" customHeight="1">
      <c r="A109" s="120"/>
      <c r="B109" s="143"/>
      <c r="C109" s="120"/>
      <c r="D109" s="144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3.5" customHeight="1">
      <c r="A110" s="120"/>
      <c r="B110" s="143"/>
      <c r="C110" s="120"/>
      <c r="D110" s="144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3.5" customHeight="1">
      <c r="A111" s="120"/>
      <c r="B111" s="143"/>
      <c r="C111" s="120"/>
      <c r="D111" s="144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3.5" customHeight="1">
      <c r="A112" s="120"/>
      <c r="B112" s="143"/>
      <c r="C112" s="120"/>
      <c r="D112" s="144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3.5" customHeight="1">
      <c r="A113" s="120"/>
      <c r="B113" s="143"/>
      <c r="C113" s="120"/>
      <c r="D113" s="144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3.5" customHeight="1">
      <c r="A114" s="120"/>
      <c r="B114" s="143"/>
      <c r="C114" s="120"/>
      <c r="D114" s="144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3.5" customHeight="1">
      <c r="A115" s="120"/>
      <c r="B115" s="143"/>
      <c r="C115" s="120"/>
      <c r="D115" s="144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3.5" customHeight="1">
      <c r="A116" s="120"/>
      <c r="B116" s="143"/>
      <c r="C116" s="120"/>
      <c r="D116" s="144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3.5" customHeight="1">
      <c r="A117" s="120"/>
      <c r="B117" s="143"/>
      <c r="C117" s="120"/>
      <c r="D117" s="144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3.5" customHeight="1">
      <c r="A118" s="120"/>
      <c r="B118" s="143"/>
      <c r="C118" s="120"/>
      <c r="D118" s="144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3.5" customHeight="1">
      <c r="A119" s="120"/>
      <c r="B119" s="143"/>
      <c r="C119" s="120"/>
      <c r="D119" s="144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3.5" customHeight="1">
      <c r="A120" s="120"/>
      <c r="B120" s="143"/>
      <c r="C120" s="120"/>
      <c r="D120" s="144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3.5" customHeight="1">
      <c r="A121" s="120"/>
      <c r="B121" s="143"/>
      <c r="C121" s="120"/>
      <c r="D121" s="144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3.5" customHeight="1">
      <c r="A122" s="120"/>
      <c r="B122" s="143"/>
      <c r="C122" s="120"/>
      <c r="D122" s="144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3.5" customHeight="1">
      <c r="A123" s="120"/>
      <c r="B123" s="143"/>
      <c r="C123" s="120"/>
      <c r="D123" s="144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3.5" customHeight="1">
      <c r="A124" s="120"/>
      <c r="B124" s="143"/>
      <c r="C124" s="120"/>
      <c r="D124" s="144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3.5" customHeight="1">
      <c r="A125" s="120"/>
      <c r="B125" s="143"/>
      <c r="C125" s="120"/>
      <c r="D125" s="144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3.5" customHeight="1">
      <c r="A126" s="120"/>
      <c r="B126" s="143"/>
      <c r="C126" s="120"/>
      <c r="D126" s="144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3.5" customHeight="1">
      <c r="A127" s="120"/>
      <c r="B127" s="143"/>
      <c r="C127" s="120"/>
      <c r="D127" s="144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3.5" customHeight="1">
      <c r="A128" s="120"/>
      <c r="B128" s="143"/>
      <c r="C128" s="120"/>
      <c r="D128" s="144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3.5" customHeight="1">
      <c r="A129" s="120"/>
      <c r="B129" s="143"/>
      <c r="C129" s="120"/>
      <c r="D129" s="144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3.5" customHeight="1">
      <c r="A130" s="120"/>
      <c r="B130" s="143"/>
      <c r="C130" s="120"/>
      <c r="D130" s="144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3.5" customHeight="1">
      <c r="A131" s="120"/>
      <c r="B131" s="143"/>
      <c r="C131" s="120"/>
      <c r="D131" s="144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3.5" customHeight="1">
      <c r="A132" s="120"/>
      <c r="B132" s="143"/>
      <c r="C132" s="120"/>
      <c r="D132" s="144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3.5" customHeight="1">
      <c r="A133" s="120"/>
      <c r="B133" s="143"/>
      <c r="C133" s="120"/>
      <c r="D133" s="144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3.5" customHeight="1">
      <c r="A134" s="120"/>
      <c r="B134" s="143"/>
      <c r="C134" s="120"/>
      <c r="D134" s="144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3.5" customHeight="1">
      <c r="A135" s="120"/>
      <c r="B135" s="143"/>
      <c r="C135" s="120"/>
      <c r="D135" s="144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3.5" customHeight="1">
      <c r="A136" s="120"/>
      <c r="B136" s="143"/>
      <c r="C136" s="120"/>
      <c r="D136" s="144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3.5" customHeight="1">
      <c r="A137" s="120"/>
      <c r="B137" s="143"/>
      <c r="C137" s="120"/>
      <c r="D137" s="144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3.5" customHeight="1">
      <c r="A138" s="120"/>
      <c r="B138" s="143"/>
      <c r="C138" s="120"/>
      <c r="D138" s="144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3.5" customHeight="1">
      <c r="A139" s="120"/>
      <c r="B139" s="143"/>
      <c r="C139" s="120"/>
      <c r="D139" s="144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3.5" customHeight="1">
      <c r="A140" s="120"/>
      <c r="B140" s="143"/>
      <c r="C140" s="120"/>
      <c r="D140" s="144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3.5" customHeight="1">
      <c r="A141" s="120"/>
      <c r="B141" s="143"/>
      <c r="C141" s="120"/>
      <c r="D141" s="144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3.5" customHeight="1">
      <c r="A142" s="120"/>
      <c r="B142" s="143"/>
      <c r="C142" s="120"/>
      <c r="D142" s="144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3.5" customHeight="1">
      <c r="A143" s="120"/>
      <c r="B143" s="143"/>
      <c r="C143" s="120"/>
      <c r="D143" s="144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3.5" customHeight="1">
      <c r="A144" s="120"/>
      <c r="B144" s="143"/>
      <c r="C144" s="120"/>
      <c r="D144" s="144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3.5" customHeight="1">
      <c r="A145" s="120"/>
      <c r="B145" s="143"/>
      <c r="C145" s="120"/>
      <c r="D145" s="144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3.5" customHeight="1">
      <c r="A146" s="120"/>
      <c r="B146" s="143"/>
      <c r="C146" s="120"/>
      <c r="D146" s="144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3.5" customHeight="1">
      <c r="A147" s="120"/>
      <c r="B147" s="143"/>
      <c r="C147" s="120"/>
      <c r="D147" s="144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3.5" customHeight="1">
      <c r="A148" s="120"/>
      <c r="B148" s="143"/>
      <c r="C148" s="120"/>
      <c r="D148" s="144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3.5" customHeight="1">
      <c r="A149" s="120"/>
      <c r="B149" s="143"/>
      <c r="C149" s="120"/>
      <c r="D149" s="144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3.5" customHeight="1">
      <c r="A150" s="120"/>
      <c r="B150" s="143"/>
      <c r="C150" s="120"/>
      <c r="D150" s="144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3.5" customHeight="1">
      <c r="A151" s="120"/>
      <c r="B151" s="143"/>
      <c r="C151" s="120"/>
      <c r="D151" s="144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3.5" customHeight="1">
      <c r="A152" s="120"/>
      <c r="B152" s="143"/>
      <c r="C152" s="120"/>
      <c r="D152" s="144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3.5" customHeight="1">
      <c r="A153" s="120"/>
      <c r="B153" s="143"/>
      <c r="C153" s="120"/>
      <c r="D153" s="144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3.5" customHeight="1">
      <c r="A154" s="120"/>
      <c r="B154" s="143"/>
      <c r="C154" s="120"/>
      <c r="D154" s="144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3.5" customHeight="1">
      <c r="A155" s="120"/>
      <c r="B155" s="143"/>
      <c r="C155" s="120"/>
      <c r="D155" s="144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3.5" customHeight="1">
      <c r="A156" s="120"/>
      <c r="B156" s="143"/>
      <c r="C156" s="120"/>
      <c r="D156" s="144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3.5" customHeight="1">
      <c r="A157" s="120"/>
      <c r="B157" s="143"/>
      <c r="C157" s="120"/>
      <c r="D157" s="144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3.5" customHeight="1">
      <c r="A158" s="120"/>
      <c r="B158" s="143"/>
      <c r="C158" s="120"/>
      <c r="D158" s="144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3.5" customHeight="1">
      <c r="A159" s="120"/>
      <c r="B159" s="143"/>
      <c r="C159" s="120"/>
      <c r="D159" s="144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3.5" customHeight="1">
      <c r="A160" s="120"/>
      <c r="B160" s="143"/>
      <c r="C160" s="120"/>
      <c r="D160" s="144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3.5" customHeight="1">
      <c r="A161" s="120"/>
      <c r="B161" s="143"/>
      <c r="C161" s="120"/>
      <c r="D161" s="144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3.5" customHeight="1">
      <c r="A162" s="120"/>
      <c r="B162" s="143"/>
      <c r="C162" s="120"/>
      <c r="D162" s="144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3.5" customHeight="1">
      <c r="A163" s="120"/>
      <c r="B163" s="143"/>
      <c r="C163" s="120"/>
      <c r="D163" s="144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3.5" customHeight="1">
      <c r="A164" s="120"/>
      <c r="B164" s="143"/>
      <c r="C164" s="120"/>
      <c r="D164" s="144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3.5" customHeight="1">
      <c r="A165" s="120"/>
      <c r="B165" s="143"/>
      <c r="C165" s="120"/>
      <c r="D165" s="144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3.5" customHeight="1">
      <c r="A166" s="120"/>
      <c r="B166" s="143"/>
      <c r="C166" s="120"/>
      <c r="D166" s="144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3.5" customHeight="1">
      <c r="A167" s="120"/>
      <c r="B167" s="143"/>
      <c r="C167" s="120"/>
      <c r="D167" s="144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3.5" customHeight="1">
      <c r="A168" s="120"/>
      <c r="B168" s="143"/>
      <c r="C168" s="120"/>
      <c r="D168" s="144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3.5" customHeight="1">
      <c r="A169" s="120"/>
      <c r="B169" s="143"/>
      <c r="C169" s="120"/>
      <c r="D169" s="144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3.5" customHeight="1">
      <c r="A170" s="120"/>
      <c r="B170" s="143"/>
      <c r="C170" s="120"/>
      <c r="D170" s="144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3.5" customHeight="1">
      <c r="A171" s="120"/>
      <c r="B171" s="143"/>
      <c r="C171" s="120"/>
      <c r="D171" s="144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3.5" customHeight="1">
      <c r="A172" s="120"/>
      <c r="B172" s="143"/>
      <c r="C172" s="120"/>
      <c r="D172" s="144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3.5" customHeight="1">
      <c r="A173" s="120"/>
      <c r="B173" s="143"/>
      <c r="C173" s="120"/>
      <c r="D173" s="144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3.5" customHeight="1">
      <c r="A174" s="120"/>
      <c r="B174" s="143"/>
      <c r="C174" s="120"/>
      <c r="D174" s="144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3.5" customHeight="1">
      <c r="A175" s="120"/>
      <c r="B175" s="143"/>
      <c r="C175" s="120"/>
      <c r="D175" s="144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3.5" customHeight="1">
      <c r="A176" s="120"/>
      <c r="B176" s="143"/>
      <c r="C176" s="120"/>
      <c r="D176" s="144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3.5" customHeight="1">
      <c r="A177" s="120"/>
      <c r="B177" s="143"/>
      <c r="C177" s="120"/>
      <c r="D177" s="144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3.5" customHeight="1">
      <c r="A178" s="120"/>
      <c r="B178" s="143"/>
      <c r="C178" s="120"/>
      <c r="D178" s="144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3.5" customHeight="1">
      <c r="A179" s="120"/>
      <c r="B179" s="143"/>
      <c r="C179" s="120"/>
      <c r="D179" s="144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3.5" customHeight="1">
      <c r="A180" s="120"/>
      <c r="B180" s="143"/>
      <c r="C180" s="120"/>
      <c r="D180" s="144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3.5" customHeight="1">
      <c r="A181" s="120"/>
      <c r="B181" s="143"/>
      <c r="C181" s="120"/>
      <c r="D181" s="144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3.5" customHeight="1">
      <c r="A182" s="120"/>
      <c r="B182" s="143"/>
      <c r="C182" s="120"/>
      <c r="D182" s="144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3.5" customHeight="1">
      <c r="A183" s="120"/>
      <c r="B183" s="143"/>
      <c r="C183" s="120"/>
      <c r="D183" s="144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3.5" customHeight="1">
      <c r="A184" s="120"/>
      <c r="B184" s="143"/>
      <c r="C184" s="120"/>
      <c r="D184" s="144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3.5" customHeight="1">
      <c r="A185" s="120"/>
      <c r="B185" s="143"/>
      <c r="C185" s="120"/>
      <c r="D185" s="144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3.5" customHeight="1">
      <c r="A186" s="120"/>
      <c r="B186" s="143"/>
      <c r="C186" s="120"/>
      <c r="D186" s="144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3.5" customHeight="1">
      <c r="A187" s="120"/>
      <c r="B187" s="143"/>
      <c r="C187" s="120"/>
      <c r="D187" s="144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3.5" customHeight="1">
      <c r="A188" s="120"/>
      <c r="B188" s="143"/>
      <c r="C188" s="120"/>
      <c r="D188" s="144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3.5" customHeight="1">
      <c r="A189" s="120"/>
      <c r="B189" s="143"/>
      <c r="C189" s="120"/>
      <c r="D189" s="144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3.5" customHeight="1">
      <c r="A190" s="120"/>
      <c r="B190" s="143"/>
      <c r="C190" s="120"/>
      <c r="D190" s="144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3.5" customHeight="1">
      <c r="A191" s="120"/>
      <c r="B191" s="143"/>
      <c r="C191" s="120"/>
      <c r="D191" s="144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3.5" customHeight="1">
      <c r="A192" s="120"/>
      <c r="B192" s="143"/>
      <c r="C192" s="120"/>
      <c r="D192" s="144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3.5" customHeight="1">
      <c r="A193" s="120"/>
      <c r="B193" s="143"/>
      <c r="C193" s="120"/>
      <c r="D193" s="144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3.5" customHeight="1">
      <c r="A194" s="120"/>
      <c r="B194" s="143"/>
      <c r="C194" s="120"/>
      <c r="D194" s="144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3.5" customHeight="1">
      <c r="A195" s="120"/>
      <c r="B195" s="143"/>
      <c r="C195" s="120"/>
      <c r="D195" s="144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3.5" customHeight="1">
      <c r="A196" s="120"/>
      <c r="B196" s="143"/>
      <c r="C196" s="120"/>
      <c r="D196" s="144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3.5" customHeight="1">
      <c r="A197" s="120"/>
      <c r="B197" s="143"/>
      <c r="C197" s="120"/>
      <c r="D197" s="144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3.5" customHeight="1">
      <c r="A198" s="120"/>
      <c r="B198" s="143"/>
      <c r="C198" s="120"/>
      <c r="D198" s="144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3.5" customHeight="1">
      <c r="A199" s="120"/>
      <c r="B199" s="143"/>
      <c r="C199" s="120"/>
      <c r="D199" s="144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3.5" customHeight="1">
      <c r="A200" s="120"/>
      <c r="B200" s="143"/>
      <c r="C200" s="120"/>
      <c r="D200" s="144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3.5" customHeight="1">
      <c r="A201" s="120"/>
      <c r="B201" s="143"/>
      <c r="C201" s="120"/>
      <c r="D201" s="144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3.5" customHeight="1">
      <c r="A202" s="120"/>
      <c r="B202" s="143"/>
      <c r="C202" s="120"/>
      <c r="D202" s="144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3.5" customHeight="1">
      <c r="A203" s="120"/>
      <c r="B203" s="143"/>
      <c r="C203" s="120"/>
      <c r="D203" s="144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3.5" customHeight="1">
      <c r="A204" s="120"/>
      <c r="B204" s="143"/>
      <c r="C204" s="120"/>
      <c r="D204" s="144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3.5" customHeight="1">
      <c r="A205" s="120"/>
      <c r="B205" s="143"/>
      <c r="C205" s="120"/>
      <c r="D205" s="144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3.5" customHeight="1">
      <c r="A206" s="120"/>
      <c r="B206" s="143"/>
      <c r="C206" s="120"/>
      <c r="D206" s="144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3.5" customHeight="1">
      <c r="A207" s="120"/>
      <c r="B207" s="143"/>
      <c r="C207" s="120"/>
      <c r="D207" s="144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3.5" customHeight="1">
      <c r="A208" s="120"/>
      <c r="B208" s="143"/>
      <c r="C208" s="120"/>
      <c r="D208" s="144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3.5" customHeight="1">
      <c r="A209" s="120"/>
      <c r="B209" s="143"/>
      <c r="C209" s="120"/>
      <c r="D209" s="144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3.5" customHeight="1">
      <c r="A210" s="120"/>
      <c r="B210" s="143"/>
      <c r="C210" s="120"/>
      <c r="D210" s="144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3.5" customHeight="1">
      <c r="A211" s="120"/>
      <c r="B211" s="143"/>
      <c r="C211" s="120"/>
      <c r="D211" s="144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3.5" customHeight="1">
      <c r="A212" s="120"/>
      <c r="B212" s="143"/>
      <c r="C212" s="120"/>
      <c r="D212" s="144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3.5" customHeight="1">
      <c r="A213" s="120"/>
      <c r="B213" s="143"/>
      <c r="C213" s="120"/>
      <c r="D213" s="144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3.5" customHeight="1">
      <c r="A214" s="120"/>
      <c r="B214" s="143"/>
      <c r="C214" s="120"/>
      <c r="D214" s="144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3.5" customHeight="1">
      <c r="A215" s="120"/>
      <c r="B215" s="143"/>
      <c r="C215" s="120"/>
      <c r="D215" s="144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3.5" customHeight="1">
      <c r="A216" s="120"/>
      <c r="B216" s="143"/>
      <c r="C216" s="120"/>
      <c r="D216" s="144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3.5" customHeight="1">
      <c r="A217" s="120"/>
      <c r="B217" s="143"/>
      <c r="C217" s="120"/>
      <c r="D217" s="144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3.5" customHeight="1">
      <c r="A218" s="120"/>
      <c r="B218" s="143"/>
      <c r="C218" s="120"/>
      <c r="D218" s="144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3.5" customHeight="1">
      <c r="A219" s="120"/>
      <c r="B219" s="143"/>
      <c r="C219" s="120"/>
      <c r="D219" s="144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3.5" customHeight="1">
      <c r="A220" s="120"/>
      <c r="B220" s="143"/>
      <c r="C220" s="120"/>
      <c r="D220" s="144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3.5" customHeight="1">
      <c r="A221" s="120"/>
      <c r="B221" s="143"/>
      <c r="C221" s="120"/>
      <c r="D221" s="144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3.5" customHeight="1">
      <c r="A222" s="120"/>
      <c r="B222" s="143"/>
      <c r="C222" s="120"/>
      <c r="D222" s="144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3.5" customHeight="1">
      <c r="A223" s="120"/>
      <c r="B223" s="143"/>
      <c r="C223" s="120"/>
      <c r="D223" s="144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3.5" customHeight="1">
      <c r="A224" s="120"/>
      <c r="B224" s="143"/>
      <c r="C224" s="120"/>
      <c r="D224" s="144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3.5" customHeight="1">
      <c r="A225" s="120"/>
      <c r="B225" s="143"/>
      <c r="C225" s="120"/>
      <c r="D225" s="144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3.5" customHeight="1">
      <c r="A226" s="120"/>
      <c r="B226" s="143"/>
      <c r="C226" s="120"/>
      <c r="D226" s="144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3.5" customHeight="1">
      <c r="A227" s="120"/>
      <c r="B227" s="143"/>
      <c r="C227" s="120"/>
      <c r="D227" s="144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3.5" customHeight="1">
      <c r="A228" s="120"/>
      <c r="B228" s="143"/>
      <c r="C228" s="120"/>
      <c r="D228" s="144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3.5" customHeight="1">
      <c r="A229" s="120"/>
      <c r="B229" s="143"/>
      <c r="C229" s="120"/>
      <c r="D229" s="144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3.5" customHeight="1">
      <c r="A230" s="120"/>
      <c r="B230" s="143"/>
      <c r="C230" s="120"/>
      <c r="D230" s="144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3.5" customHeight="1">
      <c r="A231" s="120"/>
      <c r="B231" s="143"/>
      <c r="C231" s="120"/>
      <c r="D231" s="144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3.5" customHeight="1">
      <c r="A232" s="120"/>
      <c r="B232" s="143"/>
      <c r="C232" s="120"/>
      <c r="D232" s="144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3.5" customHeight="1">
      <c r="A233" s="120"/>
      <c r="B233" s="143"/>
      <c r="C233" s="120"/>
      <c r="D233" s="144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3.5" customHeight="1">
      <c r="A234" s="120"/>
      <c r="B234" s="143"/>
      <c r="C234" s="120"/>
      <c r="D234" s="144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3.5" customHeight="1">
      <c r="A235" s="120"/>
      <c r="B235" s="143"/>
      <c r="C235" s="120"/>
      <c r="D235" s="144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3.5" customHeight="1">
      <c r="A236" s="120"/>
      <c r="B236" s="143"/>
      <c r="C236" s="120"/>
      <c r="D236" s="144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3.5" customHeight="1">
      <c r="A237" s="120"/>
      <c r="B237" s="143"/>
      <c r="C237" s="120"/>
      <c r="D237" s="144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3.5" customHeight="1">
      <c r="A238" s="120"/>
      <c r="B238" s="143"/>
      <c r="C238" s="120"/>
      <c r="D238" s="144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3.5" customHeight="1">
      <c r="A239" s="120"/>
      <c r="B239" s="143"/>
      <c r="C239" s="120"/>
      <c r="D239" s="144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3.5" customHeight="1">
      <c r="A240" s="120"/>
      <c r="B240" s="143"/>
      <c r="C240" s="120"/>
      <c r="D240" s="144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3.5" customHeight="1">
      <c r="A241" s="120"/>
      <c r="B241" s="143"/>
      <c r="C241" s="120"/>
      <c r="D241" s="144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3.5" customHeight="1">
      <c r="A242" s="120"/>
      <c r="B242" s="143"/>
      <c r="C242" s="120"/>
      <c r="D242" s="144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3.5" customHeight="1">
      <c r="A243" s="120"/>
      <c r="B243" s="143"/>
      <c r="C243" s="120"/>
      <c r="D243" s="144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3.5" customHeight="1">
      <c r="A244" s="120"/>
      <c r="B244" s="143"/>
      <c r="C244" s="120"/>
      <c r="D244" s="144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3.5" customHeight="1">
      <c r="A245" s="120"/>
      <c r="B245" s="143"/>
      <c r="C245" s="120"/>
      <c r="D245" s="144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3.5" customHeight="1">
      <c r="A246" s="120"/>
      <c r="B246" s="143"/>
      <c r="C246" s="120"/>
      <c r="D246" s="144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3.5" customHeight="1">
      <c r="A247" s="120"/>
      <c r="B247" s="143"/>
      <c r="C247" s="120"/>
      <c r="D247" s="144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3.5" customHeight="1">
      <c r="A248" s="120"/>
      <c r="B248" s="143"/>
      <c r="C248" s="120"/>
      <c r="D248" s="144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3.5" customHeight="1">
      <c r="A249" s="120"/>
      <c r="B249" s="143"/>
      <c r="C249" s="120"/>
      <c r="D249" s="144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3.5" customHeight="1">
      <c r="A250" s="120"/>
      <c r="B250" s="143"/>
      <c r="C250" s="120"/>
      <c r="D250" s="144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3.5" customHeight="1">
      <c r="A251" s="120"/>
      <c r="B251" s="143"/>
      <c r="C251" s="120"/>
      <c r="D251" s="144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3.5" customHeight="1">
      <c r="A252" s="120"/>
      <c r="B252" s="143"/>
      <c r="C252" s="120"/>
      <c r="D252" s="144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3.5" customHeight="1">
      <c r="A253" s="120"/>
      <c r="B253" s="143"/>
      <c r="C253" s="120"/>
      <c r="D253" s="144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3.5" customHeight="1">
      <c r="A254" s="120"/>
      <c r="B254" s="143"/>
      <c r="C254" s="120"/>
      <c r="D254" s="144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3.5" customHeight="1">
      <c r="A255" s="120"/>
      <c r="B255" s="143"/>
      <c r="C255" s="120"/>
      <c r="D255" s="144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3.5" customHeight="1">
      <c r="A256" s="120"/>
      <c r="B256" s="143"/>
      <c r="C256" s="120"/>
      <c r="D256" s="144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3.5" customHeight="1">
      <c r="A257" s="120"/>
      <c r="B257" s="143"/>
      <c r="C257" s="120"/>
      <c r="D257" s="144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3.5" customHeight="1">
      <c r="A258" s="120"/>
      <c r="B258" s="143"/>
      <c r="C258" s="120"/>
      <c r="D258" s="144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3.5" customHeight="1">
      <c r="A259" s="120"/>
      <c r="B259" s="143"/>
      <c r="C259" s="120"/>
      <c r="D259" s="144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3.5" customHeight="1">
      <c r="A260" s="120"/>
      <c r="B260" s="143"/>
      <c r="C260" s="120"/>
      <c r="D260" s="144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3.5" customHeight="1">
      <c r="A261" s="120"/>
      <c r="B261" s="143"/>
      <c r="C261" s="120"/>
      <c r="D261" s="144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3.5" customHeight="1">
      <c r="A262" s="120"/>
      <c r="B262" s="143"/>
      <c r="C262" s="120"/>
      <c r="D262" s="144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3.5" customHeight="1">
      <c r="A263" s="120"/>
      <c r="B263" s="143"/>
      <c r="C263" s="120"/>
      <c r="D263" s="144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3.5" customHeight="1">
      <c r="A264" s="120"/>
      <c r="B264" s="143"/>
      <c r="C264" s="120"/>
      <c r="D264" s="144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3.5" customHeight="1">
      <c r="A265" s="120"/>
      <c r="B265" s="143"/>
      <c r="C265" s="120"/>
      <c r="D265" s="144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3.5" customHeight="1">
      <c r="A266" s="120"/>
      <c r="B266" s="143"/>
      <c r="C266" s="120"/>
      <c r="D266" s="144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3.5" customHeight="1">
      <c r="A267" s="120"/>
      <c r="B267" s="143"/>
      <c r="C267" s="120"/>
      <c r="D267" s="144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3.5" customHeight="1">
      <c r="A268" s="120"/>
      <c r="B268" s="143"/>
      <c r="C268" s="120"/>
      <c r="D268" s="144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3.5" customHeight="1">
      <c r="A269" s="120"/>
      <c r="B269" s="143"/>
      <c r="C269" s="120"/>
      <c r="D269" s="144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3.5" customHeight="1">
      <c r="A270" s="120"/>
      <c r="B270" s="143"/>
      <c r="C270" s="120"/>
      <c r="D270" s="144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3.5" customHeight="1">
      <c r="A271" s="120"/>
      <c r="B271" s="143"/>
      <c r="C271" s="120"/>
      <c r="D271" s="144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3.5" customHeight="1">
      <c r="A272" s="120"/>
      <c r="B272" s="143"/>
      <c r="C272" s="120"/>
      <c r="D272" s="144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3.5" customHeight="1">
      <c r="A273" s="120"/>
      <c r="B273" s="143"/>
      <c r="C273" s="120"/>
      <c r="D273" s="144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3.5" customHeight="1">
      <c r="A274" s="120"/>
      <c r="B274" s="143"/>
      <c r="C274" s="120"/>
      <c r="D274" s="144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3.5" customHeight="1">
      <c r="A275" s="120"/>
      <c r="B275" s="143"/>
      <c r="C275" s="120"/>
      <c r="D275" s="144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3.5" customHeight="1">
      <c r="A276" s="120"/>
      <c r="B276" s="143"/>
      <c r="C276" s="120"/>
      <c r="D276" s="144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3.5" customHeight="1">
      <c r="A277" s="120"/>
      <c r="B277" s="143"/>
      <c r="C277" s="120"/>
      <c r="D277" s="144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3.5" customHeight="1">
      <c r="A278" s="120"/>
      <c r="B278" s="143"/>
      <c r="C278" s="120"/>
      <c r="D278" s="144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3.5" customHeight="1">
      <c r="A279" s="120"/>
      <c r="B279" s="143"/>
      <c r="C279" s="120"/>
      <c r="D279" s="144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3.5" customHeight="1">
      <c r="A280" s="120"/>
      <c r="B280" s="143"/>
      <c r="C280" s="120"/>
      <c r="D280" s="144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3.5" customHeight="1">
      <c r="A281" s="120"/>
      <c r="B281" s="143"/>
      <c r="C281" s="120"/>
      <c r="D281" s="144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3.5" customHeight="1">
      <c r="A282" s="120"/>
      <c r="B282" s="143"/>
      <c r="C282" s="120"/>
      <c r="D282" s="144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3.5" customHeight="1">
      <c r="A283" s="120"/>
      <c r="B283" s="143"/>
      <c r="C283" s="120"/>
      <c r="D283" s="144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3.5" customHeight="1">
      <c r="A284" s="120"/>
      <c r="B284" s="143"/>
      <c r="C284" s="120"/>
      <c r="D284" s="144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3.5" customHeight="1">
      <c r="A285" s="120"/>
      <c r="B285" s="143"/>
      <c r="C285" s="120"/>
      <c r="D285" s="144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3.5" customHeight="1">
      <c r="A286" s="120"/>
      <c r="B286" s="143"/>
      <c r="C286" s="120"/>
      <c r="D286" s="144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3.5" customHeight="1">
      <c r="A287" s="120"/>
      <c r="B287" s="143"/>
      <c r="C287" s="120"/>
      <c r="D287" s="144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3.5" customHeight="1">
      <c r="A288" s="120"/>
      <c r="B288" s="143"/>
      <c r="C288" s="120"/>
      <c r="D288" s="144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3.5" customHeight="1">
      <c r="A289" s="120"/>
      <c r="B289" s="143"/>
      <c r="C289" s="120"/>
      <c r="D289" s="144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3.5" customHeight="1">
      <c r="A290" s="120"/>
      <c r="B290" s="143"/>
      <c r="C290" s="120"/>
      <c r="D290" s="144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3.5" customHeight="1">
      <c r="A291" s="120"/>
      <c r="B291" s="143"/>
      <c r="C291" s="120"/>
      <c r="D291" s="144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3.5" customHeight="1">
      <c r="A292" s="120"/>
      <c r="B292" s="143"/>
      <c r="C292" s="120"/>
      <c r="D292" s="144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3.5" customHeight="1">
      <c r="A293" s="120"/>
      <c r="B293" s="143"/>
      <c r="C293" s="120"/>
      <c r="D293" s="144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3.5" customHeight="1">
      <c r="A294" s="120"/>
      <c r="B294" s="143"/>
      <c r="C294" s="120"/>
      <c r="D294" s="144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3.5" customHeight="1">
      <c r="A295" s="120"/>
      <c r="B295" s="143"/>
      <c r="C295" s="120"/>
      <c r="D295" s="144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3.5" customHeight="1">
      <c r="A296" s="120"/>
      <c r="B296" s="143"/>
      <c r="C296" s="120"/>
      <c r="D296" s="144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3.5" customHeight="1">
      <c r="A297" s="120"/>
      <c r="B297" s="143"/>
      <c r="C297" s="120"/>
      <c r="D297" s="144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3.5" customHeight="1">
      <c r="A298" s="120"/>
      <c r="B298" s="143"/>
      <c r="C298" s="120"/>
      <c r="D298" s="144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3.5" customHeight="1">
      <c r="A299" s="120"/>
      <c r="B299" s="143"/>
      <c r="C299" s="120"/>
      <c r="D299" s="144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3.5" customHeight="1">
      <c r="A300" s="120"/>
      <c r="B300" s="143"/>
      <c r="C300" s="120"/>
      <c r="D300" s="144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3.5" customHeight="1">
      <c r="A301" s="120"/>
      <c r="B301" s="143"/>
      <c r="C301" s="120"/>
      <c r="D301" s="144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3.5" customHeight="1">
      <c r="A302" s="120"/>
      <c r="B302" s="143"/>
      <c r="C302" s="120"/>
      <c r="D302" s="144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3.5" customHeight="1">
      <c r="A303" s="120"/>
      <c r="B303" s="143"/>
      <c r="C303" s="120"/>
      <c r="D303" s="144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3.5" customHeight="1">
      <c r="A304" s="120"/>
      <c r="B304" s="143"/>
      <c r="C304" s="120"/>
      <c r="D304" s="144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3.5" customHeight="1">
      <c r="A305" s="120"/>
      <c r="B305" s="143"/>
      <c r="C305" s="120"/>
      <c r="D305" s="144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3.5" customHeight="1">
      <c r="A306" s="120"/>
      <c r="B306" s="143"/>
      <c r="C306" s="120"/>
      <c r="D306" s="144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3.5" customHeight="1">
      <c r="A307" s="120"/>
      <c r="B307" s="143"/>
      <c r="C307" s="120"/>
      <c r="D307" s="144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3.5" customHeight="1">
      <c r="A308" s="120"/>
      <c r="B308" s="143"/>
      <c r="C308" s="120"/>
      <c r="D308" s="144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3.5" customHeight="1">
      <c r="A309" s="120"/>
      <c r="B309" s="143"/>
      <c r="C309" s="120"/>
      <c r="D309" s="144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3.5" customHeight="1">
      <c r="A310" s="120"/>
      <c r="B310" s="143"/>
      <c r="C310" s="120"/>
      <c r="D310" s="144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3.5" customHeight="1">
      <c r="A311" s="120"/>
      <c r="B311" s="143"/>
      <c r="C311" s="120"/>
      <c r="D311" s="144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3.5" customHeight="1">
      <c r="A312" s="120"/>
      <c r="B312" s="143"/>
      <c r="C312" s="120"/>
      <c r="D312" s="144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3.5" customHeight="1">
      <c r="A313" s="120"/>
      <c r="B313" s="143"/>
      <c r="C313" s="120"/>
      <c r="D313" s="144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3.5" customHeight="1">
      <c r="A314" s="120"/>
      <c r="B314" s="143"/>
      <c r="C314" s="120"/>
      <c r="D314" s="144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3.5" customHeight="1">
      <c r="A315" s="120"/>
      <c r="B315" s="143"/>
      <c r="C315" s="120"/>
      <c r="D315" s="144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3.5" customHeight="1">
      <c r="A316" s="120"/>
      <c r="B316" s="143"/>
      <c r="C316" s="120"/>
      <c r="D316" s="144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3.5" customHeight="1">
      <c r="A317" s="120"/>
      <c r="B317" s="143"/>
      <c r="C317" s="120"/>
      <c r="D317" s="144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3.5" customHeight="1">
      <c r="A318" s="120"/>
      <c r="B318" s="143"/>
      <c r="C318" s="120"/>
      <c r="D318" s="144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3.5" customHeight="1">
      <c r="A319" s="120"/>
      <c r="B319" s="143"/>
      <c r="C319" s="120"/>
      <c r="D319" s="144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3.5" customHeight="1">
      <c r="A320" s="120"/>
      <c r="B320" s="143"/>
      <c r="C320" s="120"/>
      <c r="D320" s="144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3.5" customHeight="1">
      <c r="A321" s="120"/>
      <c r="B321" s="143"/>
      <c r="C321" s="120"/>
      <c r="D321" s="144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3.5" customHeight="1">
      <c r="A322" s="120"/>
      <c r="B322" s="143"/>
      <c r="C322" s="120"/>
      <c r="D322" s="144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3.5" customHeight="1">
      <c r="A323" s="120"/>
      <c r="B323" s="143"/>
      <c r="C323" s="120"/>
      <c r="D323" s="144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3.5" customHeight="1">
      <c r="A324" s="120"/>
      <c r="B324" s="143"/>
      <c r="C324" s="120"/>
      <c r="D324" s="144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3.5" customHeight="1">
      <c r="A325" s="120"/>
      <c r="B325" s="143"/>
      <c r="C325" s="120"/>
      <c r="D325" s="144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3.5" customHeight="1">
      <c r="A326" s="120"/>
      <c r="B326" s="143"/>
      <c r="C326" s="120"/>
      <c r="D326" s="144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3.5" customHeight="1">
      <c r="A327" s="120"/>
      <c r="B327" s="143"/>
      <c r="C327" s="120"/>
      <c r="D327" s="144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3.5" customHeight="1">
      <c r="A328" s="120"/>
      <c r="B328" s="143"/>
      <c r="C328" s="120"/>
      <c r="D328" s="144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3.5" customHeight="1">
      <c r="A329" s="120"/>
      <c r="B329" s="143"/>
      <c r="C329" s="120"/>
      <c r="D329" s="144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3.5" customHeight="1">
      <c r="A330" s="120"/>
      <c r="B330" s="143"/>
      <c r="C330" s="120"/>
      <c r="D330" s="144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3.5" customHeight="1">
      <c r="A331" s="120"/>
      <c r="B331" s="143"/>
      <c r="C331" s="120"/>
      <c r="D331" s="144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3.5" customHeight="1">
      <c r="A332" s="120"/>
      <c r="B332" s="143"/>
      <c r="C332" s="120"/>
      <c r="D332" s="144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3.5" customHeight="1">
      <c r="A333" s="120"/>
      <c r="B333" s="143"/>
      <c r="C333" s="120"/>
      <c r="D333" s="144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3.5" customHeight="1">
      <c r="A334" s="120"/>
      <c r="B334" s="143"/>
      <c r="C334" s="120"/>
      <c r="D334" s="144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3.5" customHeight="1">
      <c r="A335" s="120"/>
      <c r="B335" s="143"/>
      <c r="C335" s="120"/>
      <c r="D335" s="144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3.5" customHeight="1">
      <c r="A336" s="120"/>
      <c r="B336" s="143"/>
      <c r="C336" s="120"/>
      <c r="D336" s="144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3.5" customHeight="1">
      <c r="A337" s="120"/>
      <c r="B337" s="143"/>
      <c r="C337" s="120"/>
      <c r="D337" s="144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3.5" customHeight="1">
      <c r="A338" s="120"/>
      <c r="B338" s="143"/>
      <c r="C338" s="120"/>
      <c r="D338" s="144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3.5" customHeight="1">
      <c r="A339" s="120"/>
      <c r="B339" s="143"/>
      <c r="C339" s="120"/>
      <c r="D339" s="144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3.5" customHeight="1">
      <c r="A340" s="120"/>
      <c r="B340" s="143"/>
      <c r="C340" s="120"/>
      <c r="D340" s="144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3.5" customHeight="1">
      <c r="A341" s="120"/>
      <c r="B341" s="143"/>
      <c r="C341" s="120"/>
      <c r="D341" s="144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13.5" customHeight="1">
      <c r="A342" s="120"/>
      <c r="B342" s="143"/>
      <c r="C342" s="120"/>
      <c r="D342" s="144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13.5" customHeight="1">
      <c r="A343" s="120"/>
      <c r="B343" s="143"/>
      <c r="C343" s="120"/>
      <c r="D343" s="144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13.5" customHeight="1">
      <c r="A344" s="120"/>
      <c r="B344" s="143"/>
      <c r="C344" s="120"/>
      <c r="D344" s="144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13.5" customHeight="1">
      <c r="A345" s="120"/>
      <c r="B345" s="143"/>
      <c r="C345" s="120"/>
      <c r="D345" s="144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13.5" customHeight="1">
      <c r="A346" s="120"/>
      <c r="B346" s="143"/>
      <c r="C346" s="120"/>
      <c r="D346" s="144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13.5" customHeight="1">
      <c r="A347" s="120"/>
      <c r="B347" s="143"/>
      <c r="C347" s="120"/>
      <c r="D347" s="144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13.5" customHeight="1">
      <c r="A348" s="120"/>
      <c r="B348" s="143"/>
      <c r="C348" s="120"/>
      <c r="D348" s="144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13.5" customHeight="1">
      <c r="A349" s="120"/>
      <c r="B349" s="143"/>
      <c r="C349" s="120"/>
      <c r="D349" s="144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13.5" customHeight="1">
      <c r="A350" s="120"/>
      <c r="B350" s="143"/>
      <c r="C350" s="120"/>
      <c r="D350" s="144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13.5" customHeight="1">
      <c r="A351" s="120"/>
      <c r="B351" s="143"/>
      <c r="C351" s="120"/>
      <c r="D351" s="144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13.5" customHeight="1">
      <c r="A352" s="120"/>
      <c r="B352" s="143"/>
      <c r="C352" s="120"/>
      <c r="D352" s="144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13.5" customHeight="1">
      <c r="A353" s="120"/>
      <c r="B353" s="143"/>
      <c r="C353" s="120"/>
      <c r="D353" s="144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13.5" customHeight="1">
      <c r="A354" s="120"/>
      <c r="B354" s="143"/>
      <c r="C354" s="120"/>
      <c r="D354" s="144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13.5" customHeight="1">
      <c r="A355" s="120"/>
      <c r="B355" s="143"/>
      <c r="C355" s="120"/>
      <c r="D355" s="144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13.5" customHeight="1">
      <c r="A356" s="120"/>
      <c r="B356" s="143"/>
      <c r="C356" s="120"/>
      <c r="D356" s="144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13.5" customHeight="1">
      <c r="A357" s="120"/>
      <c r="B357" s="143"/>
      <c r="C357" s="120"/>
      <c r="D357" s="144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13.5" customHeight="1">
      <c r="A358" s="120"/>
      <c r="B358" s="143"/>
      <c r="C358" s="120"/>
      <c r="D358" s="144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13.5" customHeight="1">
      <c r="A359" s="120"/>
      <c r="B359" s="143"/>
      <c r="C359" s="120"/>
      <c r="D359" s="144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13.5" customHeight="1">
      <c r="A360" s="120"/>
      <c r="B360" s="143"/>
      <c r="C360" s="120"/>
      <c r="D360" s="144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13.5" customHeight="1">
      <c r="A361" s="120"/>
      <c r="B361" s="143"/>
      <c r="C361" s="120"/>
      <c r="D361" s="144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ht="13.5" customHeight="1">
      <c r="A362" s="120"/>
      <c r="B362" s="143"/>
      <c r="C362" s="120"/>
      <c r="D362" s="144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ht="13.5" customHeight="1">
      <c r="A363" s="120"/>
      <c r="B363" s="143"/>
      <c r="C363" s="120"/>
      <c r="D363" s="144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ht="13.5" customHeight="1">
      <c r="A364" s="120"/>
      <c r="B364" s="143"/>
      <c r="C364" s="120"/>
      <c r="D364" s="144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ht="13.5" customHeight="1">
      <c r="A365" s="120"/>
      <c r="B365" s="143"/>
      <c r="C365" s="120"/>
      <c r="D365" s="144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ht="13.5" customHeight="1">
      <c r="A366" s="120"/>
      <c r="B366" s="143"/>
      <c r="C366" s="120"/>
      <c r="D366" s="144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ht="13.5" customHeight="1">
      <c r="A367" s="120"/>
      <c r="B367" s="143"/>
      <c r="C367" s="120"/>
      <c r="D367" s="144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ht="13.5" customHeight="1">
      <c r="A368" s="120"/>
      <c r="B368" s="143"/>
      <c r="C368" s="120"/>
      <c r="D368" s="144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ht="13.5" customHeight="1">
      <c r="A369" s="120"/>
      <c r="B369" s="143"/>
      <c r="C369" s="120"/>
      <c r="D369" s="144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ht="13.5" customHeight="1">
      <c r="A370" s="120"/>
      <c r="B370" s="143"/>
      <c r="C370" s="120"/>
      <c r="D370" s="144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ht="13.5" customHeight="1">
      <c r="A371" s="120"/>
      <c r="B371" s="143"/>
      <c r="C371" s="120"/>
      <c r="D371" s="144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ht="13.5" customHeight="1">
      <c r="A372" s="120"/>
      <c r="B372" s="143"/>
      <c r="C372" s="120"/>
      <c r="D372" s="144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ht="13.5" customHeight="1">
      <c r="A373" s="120"/>
      <c r="B373" s="143"/>
      <c r="C373" s="120"/>
      <c r="D373" s="144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ht="13.5" customHeight="1">
      <c r="A374" s="120"/>
      <c r="B374" s="143"/>
      <c r="C374" s="120"/>
      <c r="D374" s="144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ht="13.5" customHeight="1">
      <c r="A375" s="120"/>
      <c r="B375" s="143"/>
      <c r="C375" s="120"/>
      <c r="D375" s="144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ht="13.5" customHeight="1">
      <c r="A376" s="120"/>
      <c r="B376" s="143"/>
      <c r="C376" s="120"/>
      <c r="D376" s="144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ht="13.5" customHeight="1">
      <c r="A377" s="120"/>
      <c r="B377" s="143"/>
      <c r="C377" s="120"/>
      <c r="D377" s="144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ht="13.5" customHeight="1">
      <c r="A378" s="120"/>
      <c r="B378" s="143"/>
      <c r="C378" s="120"/>
      <c r="D378" s="144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ht="13.5" customHeight="1">
      <c r="A379" s="120"/>
      <c r="B379" s="143"/>
      <c r="C379" s="120"/>
      <c r="D379" s="144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ht="13.5" customHeight="1">
      <c r="A380" s="120"/>
      <c r="B380" s="143"/>
      <c r="C380" s="120"/>
      <c r="D380" s="144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ht="13.5" customHeight="1">
      <c r="A381" s="120"/>
      <c r="B381" s="143"/>
      <c r="C381" s="120"/>
      <c r="D381" s="144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ht="13.5" customHeight="1">
      <c r="A382" s="120"/>
      <c r="B382" s="143"/>
      <c r="C382" s="120"/>
      <c r="D382" s="144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ht="13.5" customHeight="1">
      <c r="A383" s="120"/>
      <c r="B383" s="143"/>
      <c r="C383" s="120"/>
      <c r="D383" s="144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ht="13.5" customHeight="1">
      <c r="A384" s="120"/>
      <c r="B384" s="143"/>
      <c r="C384" s="120"/>
      <c r="D384" s="144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ht="13.5" customHeight="1">
      <c r="A385" s="120"/>
      <c r="B385" s="143"/>
      <c r="C385" s="120"/>
      <c r="D385" s="144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ht="13.5" customHeight="1">
      <c r="A386" s="120"/>
      <c r="B386" s="143"/>
      <c r="C386" s="120"/>
      <c r="D386" s="144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ht="13.5" customHeight="1">
      <c r="A387" s="120"/>
      <c r="B387" s="143"/>
      <c r="C387" s="120"/>
      <c r="D387" s="144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ht="13.5" customHeight="1">
      <c r="A388" s="120"/>
      <c r="B388" s="143"/>
      <c r="C388" s="120"/>
      <c r="D388" s="144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ht="13.5" customHeight="1">
      <c r="A389" s="120"/>
      <c r="B389" s="143"/>
      <c r="C389" s="120"/>
      <c r="D389" s="144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ht="13.5" customHeight="1">
      <c r="A390" s="120"/>
      <c r="B390" s="143"/>
      <c r="C390" s="120"/>
      <c r="D390" s="144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ht="13.5" customHeight="1">
      <c r="A391" s="120"/>
      <c r="B391" s="143"/>
      <c r="C391" s="120"/>
      <c r="D391" s="144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ht="13.5" customHeight="1">
      <c r="A392" s="120"/>
      <c r="B392" s="143"/>
      <c r="C392" s="120"/>
      <c r="D392" s="144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ht="13.5" customHeight="1">
      <c r="A393" s="120"/>
      <c r="B393" s="143"/>
      <c r="C393" s="120"/>
      <c r="D393" s="144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 ht="13.5" customHeight="1">
      <c r="A394" s="120"/>
      <c r="B394" s="143"/>
      <c r="C394" s="120"/>
      <c r="D394" s="144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 ht="13.5" customHeight="1">
      <c r="A395" s="120"/>
      <c r="B395" s="143"/>
      <c r="C395" s="120"/>
      <c r="D395" s="144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 ht="13.5" customHeight="1">
      <c r="A396" s="120"/>
      <c r="B396" s="143"/>
      <c r="C396" s="120"/>
      <c r="D396" s="144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 ht="13.5" customHeight="1">
      <c r="A397" s="120"/>
      <c r="B397" s="143"/>
      <c r="C397" s="120"/>
      <c r="D397" s="144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 ht="13.5" customHeight="1">
      <c r="A398" s="120"/>
      <c r="B398" s="143"/>
      <c r="C398" s="120"/>
      <c r="D398" s="144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 ht="13.5" customHeight="1">
      <c r="A399" s="120"/>
      <c r="B399" s="143"/>
      <c r="C399" s="120"/>
      <c r="D399" s="144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ht="13.5" customHeight="1">
      <c r="A400" s="120"/>
      <c r="B400" s="143"/>
      <c r="C400" s="120"/>
      <c r="D400" s="144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 ht="13.5" customHeight="1">
      <c r="A401" s="120"/>
      <c r="B401" s="143"/>
      <c r="C401" s="120"/>
      <c r="D401" s="144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 ht="13.5" customHeight="1">
      <c r="A402" s="120"/>
      <c r="B402" s="143"/>
      <c r="C402" s="120"/>
      <c r="D402" s="144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 ht="13.5" customHeight="1">
      <c r="A403" s="120"/>
      <c r="B403" s="143"/>
      <c r="C403" s="120"/>
      <c r="D403" s="144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 ht="13.5" customHeight="1">
      <c r="A404" s="120"/>
      <c r="B404" s="143"/>
      <c r="C404" s="120"/>
      <c r="D404" s="144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 ht="13.5" customHeight="1">
      <c r="A405" s="120"/>
      <c r="B405" s="143"/>
      <c r="C405" s="120"/>
      <c r="D405" s="144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 ht="13.5" customHeight="1">
      <c r="A406" s="120"/>
      <c r="B406" s="143"/>
      <c r="C406" s="120"/>
      <c r="D406" s="144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 ht="13.5" customHeight="1">
      <c r="A407" s="120"/>
      <c r="B407" s="143"/>
      <c r="C407" s="120"/>
      <c r="D407" s="144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 ht="13.5" customHeight="1">
      <c r="A408" s="120"/>
      <c r="B408" s="143"/>
      <c r="C408" s="120"/>
      <c r="D408" s="144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 ht="13.5" customHeight="1">
      <c r="A409" s="120"/>
      <c r="B409" s="143"/>
      <c r="C409" s="120"/>
      <c r="D409" s="144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 ht="13.5" customHeight="1">
      <c r="A410" s="120"/>
      <c r="B410" s="143"/>
      <c r="C410" s="120"/>
      <c r="D410" s="144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 ht="13.5" customHeight="1">
      <c r="A411" s="120"/>
      <c r="B411" s="143"/>
      <c r="C411" s="120"/>
      <c r="D411" s="144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 ht="13.5" customHeight="1">
      <c r="A412" s="120"/>
      <c r="B412" s="143"/>
      <c r="C412" s="120"/>
      <c r="D412" s="144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 ht="13.5" customHeight="1">
      <c r="A413" s="120"/>
      <c r="B413" s="143"/>
      <c r="C413" s="120"/>
      <c r="D413" s="144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 ht="13.5" customHeight="1">
      <c r="A414" s="120"/>
      <c r="B414" s="143"/>
      <c r="C414" s="120"/>
      <c r="D414" s="144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 ht="13.5" customHeight="1">
      <c r="A415" s="120"/>
      <c r="B415" s="143"/>
      <c r="C415" s="120"/>
      <c r="D415" s="144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 ht="13.5" customHeight="1">
      <c r="A416" s="120"/>
      <c r="B416" s="143"/>
      <c r="C416" s="120"/>
      <c r="D416" s="144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 ht="13.5" customHeight="1">
      <c r="A417" s="120"/>
      <c r="B417" s="143"/>
      <c r="C417" s="120"/>
      <c r="D417" s="144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 ht="13.5" customHeight="1">
      <c r="A418" s="120"/>
      <c r="B418" s="143"/>
      <c r="C418" s="120"/>
      <c r="D418" s="144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 ht="13.5" customHeight="1">
      <c r="A419" s="120"/>
      <c r="B419" s="143"/>
      <c r="C419" s="120"/>
      <c r="D419" s="144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 ht="13.5" customHeight="1">
      <c r="A420" s="120"/>
      <c r="B420" s="143"/>
      <c r="C420" s="120"/>
      <c r="D420" s="144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 ht="13.5" customHeight="1">
      <c r="A421" s="120"/>
      <c r="B421" s="143"/>
      <c r="C421" s="120"/>
      <c r="D421" s="144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 ht="13.5" customHeight="1">
      <c r="A422" s="120"/>
      <c r="B422" s="143"/>
      <c r="C422" s="120"/>
      <c r="D422" s="144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 ht="13.5" customHeight="1">
      <c r="A423" s="120"/>
      <c r="B423" s="143"/>
      <c r="C423" s="120"/>
      <c r="D423" s="144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 ht="13.5" customHeight="1">
      <c r="A424" s="120"/>
      <c r="B424" s="143"/>
      <c r="C424" s="120"/>
      <c r="D424" s="144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 ht="13.5" customHeight="1">
      <c r="A425" s="120"/>
      <c r="B425" s="143"/>
      <c r="C425" s="120"/>
      <c r="D425" s="144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 ht="13.5" customHeight="1">
      <c r="A426" s="120"/>
      <c r="B426" s="143"/>
      <c r="C426" s="120"/>
      <c r="D426" s="144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 ht="13.5" customHeight="1">
      <c r="A427" s="120"/>
      <c r="B427" s="143"/>
      <c r="C427" s="120"/>
      <c r="D427" s="144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 ht="13.5" customHeight="1">
      <c r="A428" s="120"/>
      <c r="B428" s="143"/>
      <c r="C428" s="120"/>
      <c r="D428" s="144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 ht="13.5" customHeight="1">
      <c r="A429" s="120"/>
      <c r="B429" s="143"/>
      <c r="C429" s="120"/>
      <c r="D429" s="144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 ht="13.5" customHeight="1">
      <c r="A430" s="120"/>
      <c r="B430" s="143"/>
      <c r="C430" s="120"/>
      <c r="D430" s="144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 ht="13.5" customHeight="1">
      <c r="A431" s="120"/>
      <c r="B431" s="143"/>
      <c r="C431" s="120"/>
      <c r="D431" s="144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 ht="13.5" customHeight="1">
      <c r="A432" s="120"/>
      <c r="B432" s="143"/>
      <c r="C432" s="120"/>
      <c r="D432" s="144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 ht="13.5" customHeight="1">
      <c r="A433" s="120"/>
      <c r="B433" s="143"/>
      <c r="C433" s="120"/>
      <c r="D433" s="144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 ht="13.5" customHeight="1">
      <c r="A434" s="120"/>
      <c r="B434" s="143"/>
      <c r="C434" s="120"/>
      <c r="D434" s="144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 ht="13.5" customHeight="1">
      <c r="A435" s="120"/>
      <c r="B435" s="143"/>
      <c r="C435" s="120"/>
      <c r="D435" s="144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 ht="13.5" customHeight="1">
      <c r="A436" s="120"/>
      <c r="B436" s="143"/>
      <c r="C436" s="120"/>
      <c r="D436" s="144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 ht="13.5" customHeight="1">
      <c r="A437" s="120"/>
      <c r="B437" s="143"/>
      <c r="C437" s="120"/>
      <c r="D437" s="144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 ht="13.5" customHeight="1">
      <c r="A438" s="120"/>
      <c r="B438" s="143"/>
      <c r="C438" s="120"/>
      <c r="D438" s="144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 ht="13.5" customHeight="1">
      <c r="A439" s="120"/>
      <c r="B439" s="143"/>
      <c r="C439" s="120"/>
      <c r="D439" s="144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 ht="13.5" customHeight="1">
      <c r="A440" s="120"/>
      <c r="B440" s="143"/>
      <c r="C440" s="120"/>
      <c r="D440" s="144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 ht="13.5" customHeight="1">
      <c r="A441" s="120"/>
      <c r="B441" s="143"/>
      <c r="C441" s="120"/>
      <c r="D441" s="144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 ht="13.5" customHeight="1">
      <c r="A442" s="120"/>
      <c r="B442" s="143"/>
      <c r="C442" s="120"/>
      <c r="D442" s="144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 ht="13.5" customHeight="1">
      <c r="A443" s="120"/>
      <c r="B443" s="143"/>
      <c r="C443" s="120"/>
      <c r="D443" s="144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 ht="13.5" customHeight="1">
      <c r="A444" s="120"/>
      <c r="B444" s="143"/>
      <c r="C444" s="120"/>
      <c r="D444" s="144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 ht="13.5" customHeight="1">
      <c r="A445" s="120"/>
      <c r="B445" s="143"/>
      <c r="C445" s="120"/>
      <c r="D445" s="144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 ht="13.5" customHeight="1">
      <c r="A446" s="120"/>
      <c r="B446" s="143"/>
      <c r="C446" s="120"/>
      <c r="D446" s="144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 ht="13.5" customHeight="1">
      <c r="A447" s="120"/>
      <c r="B447" s="143"/>
      <c r="C447" s="120"/>
      <c r="D447" s="144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 ht="13.5" customHeight="1">
      <c r="A448" s="120"/>
      <c r="B448" s="143"/>
      <c r="C448" s="120"/>
      <c r="D448" s="144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 ht="13.5" customHeight="1">
      <c r="A449" s="120"/>
      <c r="B449" s="143"/>
      <c r="C449" s="120"/>
      <c r="D449" s="144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 ht="13.5" customHeight="1">
      <c r="A450" s="120"/>
      <c r="B450" s="143"/>
      <c r="C450" s="120"/>
      <c r="D450" s="144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 ht="13.5" customHeight="1">
      <c r="A451" s="120"/>
      <c r="B451" s="143"/>
      <c r="C451" s="120"/>
      <c r="D451" s="144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 ht="13.5" customHeight="1">
      <c r="A452" s="120"/>
      <c r="B452" s="143"/>
      <c r="C452" s="120"/>
      <c r="D452" s="144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 ht="13.5" customHeight="1">
      <c r="A453" s="120"/>
      <c r="B453" s="143"/>
      <c r="C453" s="120"/>
      <c r="D453" s="144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 ht="13.5" customHeight="1">
      <c r="A454" s="120"/>
      <c r="B454" s="143"/>
      <c r="C454" s="120"/>
      <c r="D454" s="144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 ht="13.5" customHeight="1">
      <c r="A455" s="120"/>
      <c r="B455" s="143"/>
      <c r="C455" s="120"/>
      <c r="D455" s="144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 ht="13.5" customHeight="1">
      <c r="A456" s="120"/>
      <c r="B456" s="143"/>
      <c r="C456" s="120"/>
      <c r="D456" s="144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 ht="13.5" customHeight="1">
      <c r="A457" s="120"/>
      <c r="B457" s="143"/>
      <c r="C457" s="120"/>
      <c r="D457" s="144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 ht="13.5" customHeight="1">
      <c r="A458" s="120"/>
      <c r="B458" s="143"/>
      <c r="C458" s="120"/>
      <c r="D458" s="144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 ht="13.5" customHeight="1">
      <c r="A459" s="120"/>
      <c r="B459" s="143"/>
      <c r="C459" s="120"/>
      <c r="D459" s="144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 ht="13.5" customHeight="1">
      <c r="A460" s="120"/>
      <c r="B460" s="143"/>
      <c r="C460" s="120"/>
      <c r="D460" s="144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 ht="13.5" customHeight="1">
      <c r="A461" s="120"/>
      <c r="B461" s="143"/>
      <c r="C461" s="120"/>
      <c r="D461" s="144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 ht="13.5" customHeight="1">
      <c r="A462" s="120"/>
      <c r="B462" s="143"/>
      <c r="C462" s="120"/>
      <c r="D462" s="144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 ht="13.5" customHeight="1">
      <c r="A463" s="120"/>
      <c r="B463" s="143"/>
      <c r="C463" s="120"/>
      <c r="D463" s="144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 ht="13.5" customHeight="1">
      <c r="A464" s="120"/>
      <c r="B464" s="143"/>
      <c r="C464" s="120"/>
      <c r="D464" s="144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 ht="13.5" customHeight="1">
      <c r="A465" s="120"/>
      <c r="B465" s="143"/>
      <c r="C465" s="120"/>
      <c r="D465" s="144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 ht="13.5" customHeight="1">
      <c r="A466" s="120"/>
      <c r="B466" s="143"/>
      <c r="C466" s="120"/>
      <c r="D466" s="144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 ht="13.5" customHeight="1">
      <c r="A467" s="120"/>
      <c r="B467" s="143"/>
      <c r="C467" s="120"/>
      <c r="D467" s="144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 ht="13.5" customHeight="1">
      <c r="A468" s="120"/>
      <c r="B468" s="143"/>
      <c r="C468" s="120"/>
      <c r="D468" s="144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 ht="13.5" customHeight="1">
      <c r="A469" s="120"/>
      <c r="B469" s="143"/>
      <c r="C469" s="120"/>
      <c r="D469" s="144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 ht="13.5" customHeight="1">
      <c r="A470" s="120"/>
      <c r="B470" s="143"/>
      <c r="C470" s="120"/>
      <c r="D470" s="144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 ht="13.5" customHeight="1">
      <c r="A471" s="120"/>
      <c r="B471" s="143"/>
      <c r="C471" s="120"/>
      <c r="D471" s="144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 ht="13.5" customHeight="1">
      <c r="A472" s="120"/>
      <c r="B472" s="143"/>
      <c r="C472" s="120"/>
      <c r="D472" s="144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 ht="13.5" customHeight="1">
      <c r="A473" s="120"/>
      <c r="B473" s="143"/>
      <c r="C473" s="120"/>
      <c r="D473" s="144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 ht="13.5" customHeight="1">
      <c r="A474" s="120"/>
      <c r="B474" s="143"/>
      <c r="C474" s="120"/>
      <c r="D474" s="144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 ht="13.5" customHeight="1">
      <c r="A475" s="120"/>
      <c r="B475" s="143"/>
      <c r="C475" s="120"/>
      <c r="D475" s="144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 ht="13.5" customHeight="1">
      <c r="A476" s="120"/>
      <c r="B476" s="143"/>
      <c r="C476" s="120"/>
      <c r="D476" s="144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 ht="13.5" customHeight="1">
      <c r="A477" s="120"/>
      <c r="B477" s="143"/>
      <c r="C477" s="120"/>
      <c r="D477" s="144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 ht="13.5" customHeight="1">
      <c r="A478" s="120"/>
      <c r="B478" s="143"/>
      <c r="C478" s="120"/>
      <c r="D478" s="144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 ht="13.5" customHeight="1">
      <c r="A479" s="120"/>
      <c r="B479" s="143"/>
      <c r="C479" s="120"/>
      <c r="D479" s="144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 ht="13.5" customHeight="1">
      <c r="A480" s="120"/>
      <c r="B480" s="143"/>
      <c r="C480" s="120"/>
      <c r="D480" s="144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 ht="13.5" customHeight="1">
      <c r="A481" s="120"/>
      <c r="B481" s="143"/>
      <c r="C481" s="120"/>
      <c r="D481" s="144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 ht="13.5" customHeight="1">
      <c r="A482" s="120"/>
      <c r="B482" s="143"/>
      <c r="C482" s="120"/>
      <c r="D482" s="144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 ht="13.5" customHeight="1">
      <c r="A483" s="120"/>
      <c r="B483" s="143"/>
      <c r="C483" s="120"/>
      <c r="D483" s="144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 ht="13.5" customHeight="1">
      <c r="A484" s="120"/>
      <c r="B484" s="143"/>
      <c r="C484" s="120"/>
      <c r="D484" s="144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 ht="13.5" customHeight="1">
      <c r="A485" s="120"/>
      <c r="B485" s="143"/>
      <c r="C485" s="120"/>
      <c r="D485" s="144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 ht="13.5" customHeight="1">
      <c r="A486" s="120"/>
      <c r="B486" s="143"/>
      <c r="C486" s="120"/>
      <c r="D486" s="144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 ht="13.5" customHeight="1">
      <c r="A487" s="120"/>
      <c r="B487" s="143"/>
      <c r="C487" s="120"/>
      <c r="D487" s="144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 ht="13.5" customHeight="1">
      <c r="A488" s="120"/>
      <c r="B488" s="143"/>
      <c r="C488" s="120"/>
      <c r="D488" s="144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 ht="13.5" customHeight="1">
      <c r="A489" s="120"/>
      <c r="B489" s="143"/>
      <c r="C489" s="120"/>
      <c r="D489" s="144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 ht="13.5" customHeight="1">
      <c r="A490" s="120"/>
      <c r="B490" s="143"/>
      <c r="C490" s="120"/>
      <c r="D490" s="144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 ht="13.5" customHeight="1">
      <c r="A491" s="120"/>
      <c r="B491" s="143"/>
      <c r="C491" s="120"/>
      <c r="D491" s="144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 ht="13.5" customHeight="1">
      <c r="A492" s="120"/>
      <c r="B492" s="143"/>
      <c r="C492" s="120"/>
      <c r="D492" s="144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 ht="13.5" customHeight="1">
      <c r="A493" s="120"/>
      <c r="B493" s="143"/>
      <c r="C493" s="120"/>
      <c r="D493" s="144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 ht="13.5" customHeight="1">
      <c r="A494" s="120"/>
      <c r="B494" s="143"/>
      <c r="C494" s="120"/>
      <c r="D494" s="144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 ht="13.5" customHeight="1">
      <c r="A495" s="120"/>
      <c r="B495" s="143"/>
      <c r="C495" s="120"/>
      <c r="D495" s="144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 ht="13.5" customHeight="1">
      <c r="A496" s="120"/>
      <c r="B496" s="143"/>
      <c r="C496" s="120"/>
      <c r="D496" s="144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 ht="13.5" customHeight="1">
      <c r="A497" s="120"/>
      <c r="B497" s="143"/>
      <c r="C497" s="120"/>
      <c r="D497" s="144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 ht="13.5" customHeight="1">
      <c r="A498" s="120"/>
      <c r="B498" s="143"/>
      <c r="C498" s="120"/>
      <c r="D498" s="144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 ht="13.5" customHeight="1">
      <c r="A499" s="120"/>
      <c r="B499" s="143"/>
      <c r="C499" s="120"/>
      <c r="D499" s="144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 ht="13.5" customHeight="1">
      <c r="A500" s="120"/>
      <c r="B500" s="143"/>
      <c r="C500" s="120"/>
      <c r="D500" s="144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 ht="13.5" customHeight="1">
      <c r="A501" s="120"/>
      <c r="B501" s="143"/>
      <c r="C501" s="120"/>
      <c r="D501" s="144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 ht="13.5" customHeight="1">
      <c r="A502" s="120"/>
      <c r="B502" s="143"/>
      <c r="C502" s="120"/>
      <c r="D502" s="144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 ht="13.5" customHeight="1">
      <c r="A503" s="120"/>
      <c r="B503" s="143"/>
      <c r="C503" s="120"/>
      <c r="D503" s="144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 ht="13.5" customHeight="1">
      <c r="A504" s="120"/>
      <c r="B504" s="143"/>
      <c r="C504" s="120"/>
      <c r="D504" s="144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 ht="13.5" customHeight="1">
      <c r="A505" s="120"/>
      <c r="B505" s="143"/>
      <c r="C505" s="120"/>
      <c r="D505" s="144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 ht="13.5" customHeight="1">
      <c r="A506" s="120"/>
      <c r="B506" s="143"/>
      <c r="C506" s="120"/>
      <c r="D506" s="144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 ht="13.5" customHeight="1">
      <c r="A507" s="120"/>
      <c r="B507" s="143"/>
      <c r="C507" s="120"/>
      <c r="D507" s="144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 ht="13.5" customHeight="1">
      <c r="A508" s="120"/>
      <c r="B508" s="143"/>
      <c r="C508" s="120"/>
      <c r="D508" s="144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 ht="13.5" customHeight="1">
      <c r="A509" s="120"/>
      <c r="B509" s="143"/>
      <c r="C509" s="120"/>
      <c r="D509" s="144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 ht="13.5" customHeight="1">
      <c r="A510" s="120"/>
      <c r="B510" s="143"/>
      <c r="C510" s="120"/>
      <c r="D510" s="144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 ht="13.5" customHeight="1">
      <c r="A511" s="120"/>
      <c r="B511" s="143"/>
      <c r="C511" s="120"/>
      <c r="D511" s="144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 ht="13.5" customHeight="1">
      <c r="A512" s="120"/>
      <c r="B512" s="143"/>
      <c r="C512" s="120"/>
      <c r="D512" s="144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 ht="13.5" customHeight="1">
      <c r="A513" s="120"/>
      <c r="B513" s="143"/>
      <c r="C513" s="120"/>
      <c r="D513" s="144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 ht="13.5" customHeight="1">
      <c r="A514" s="120"/>
      <c r="B514" s="143"/>
      <c r="C514" s="120"/>
      <c r="D514" s="144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 ht="13.5" customHeight="1">
      <c r="A515" s="120"/>
      <c r="B515" s="143"/>
      <c r="C515" s="120"/>
      <c r="D515" s="144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 ht="13.5" customHeight="1">
      <c r="A516" s="120"/>
      <c r="B516" s="143"/>
      <c r="C516" s="120"/>
      <c r="D516" s="144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 ht="13.5" customHeight="1">
      <c r="A517" s="120"/>
      <c r="B517" s="143"/>
      <c r="C517" s="120"/>
      <c r="D517" s="144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 ht="13.5" customHeight="1">
      <c r="A518" s="120"/>
      <c r="B518" s="143"/>
      <c r="C518" s="120"/>
      <c r="D518" s="144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 ht="13.5" customHeight="1">
      <c r="A519" s="120"/>
      <c r="B519" s="143"/>
      <c r="C519" s="120"/>
      <c r="D519" s="144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 ht="13.5" customHeight="1">
      <c r="A520" s="120"/>
      <c r="B520" s="143"/>
      <c r="C520" s="120"/>
      <c r="D520" s="144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 ht="13.5" customHeight="1">
      <c r="A521" s="120"/>
      <c r="B521" s="143"/>
      <c r="C521" s="120"/>
      <c r="D521" s="144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 ht="13.5" customHeight="1">
      <c r="A522" s="120"/>
      <c r="B522" s="143"/>
      <c r="C522" s="120"/>
      <c r="D522" s="144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 ht="13.5" customHeight="1">
      <c r="A523" s="120"/>
      <c r="B523" s="143"/>
      <c r="C523" s="120"/>
      <c r="D523" s="144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 ht="13.5" customHeight="1">
      <c r="A524" s="120"/>
      <c r="B524" s="143"/>
      <c r="C524" s="120"/>
      <c r="D524" s="144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 ht="13.5" customHeight="1">
      <c r="A525" s="120"/>
      <c r="B525" s="143"/>
      <c r="C525" s="120"/>
      <c r="D525" s="144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 ht="13.5" customHeight="1">
      <c r="A526" s="120"/>
      <c r="B526" s="143"/>
      <c r="C526" s="120"/>
      <c r="D526" s="144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 ht="13.5" customHeight="1">
      <c r="A527" s="120"/>
      <c r="B527" s="143"/>
      <c r="C527" s="120"/>
      <c r="D527" s="144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 ht="13.5" customHeight="1">
      <c r="A528" s="120"/>
      <c r="B528" s="143"/>
      <c r="C528" s="120"/>
      <c r="D528" s="144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 ht="13.5" customHeight="1">
      <c r="A529" s="120"/>
      <c r="B529" s="143"/>
      <c r="C529" s="120"/>
      <c r="D529" s="144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 ht="13.5" customHeight="1">
      <c r="A530" s="120"/>
      <c r="B530" s="143"/>
      <c r="C530" s="120"/>
      <c r="D530" s="144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 ht="13.5" customHeight="1">
      <c r="A531" s="120"/>
      <c r="B531" s="143"/>
      <c r="C531" s="120"/>
      <c r="D531" s="144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 ht="13.5" customHeight="1">
      <c r="A532" s="120"/>
      <c r="B532" s="143"/>
      <c r="C532" s="120"/>
      <c r="D532" s="144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 ht="13.5" customHeight="1">
      <c r="A533" s="120"/>
      <c r="B533" s="143"/>
      <c r="C533" s="120"/>
      <c r="D533" s="144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 ht="13.5" customHeight="1">
      <c r="A534" s="120"/>
      <c r="B534" s="143"/>
      <c r="C534" s="120"/>
      <c r="D534" s="144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 ht="13.5" customHeight="1">
      <c r="A535" s="120"/>
      <c r="B535" s="143"/>
      <c r="C535" s="120"/>
      <c r="D535" s="144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 ht="13.5" customHeight="1">
      <c r="A536" s="120"/>
      <c r="B536" s="143"/>
      <c r="C536" s="120"/>
      <c r="D536" s="144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 ht="13.5" customHeight="1">
      <c r="A537" s="120"/>
      <c r="B537" s="143"/>
      <c r="C537" s="120"/>
      <c r="D537" s="144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 ht="13.5" customHeight="1">
      <c r="A538" s="120"/>
      <c r="B538" s="143"/>
      <c r="C538" s="120"/>
      <c r="D538" s="144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 ht="13.5" customHeight="1">
      <c r="A539" s="120"/>
      <c r="B539" s="143"/>
      <c r="C539" s="120"/>
      <c r="D539" s="144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 ht="13.5" customHeight="1">
      <c r="A540" s="120"/>
      <c r="B540" s="143"/>
      <c r="C540" s="120"/>
      <c r="D540" s="144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 ht="13.5" customHeight="1">
      <c r="A541" s="120"/>
      <c r="B541" s="143"/>
      <c r="C541" s="120"/>
      <c r="D541" s="144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 ht="13.5" customHeight="1">
      <c r="A542" s="120"/>
      <c r="B542" s="143"/>
      <c r="C542" s="120"/>
      <c r="D542" s="144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 ht="13.5" customHeight="1">
      <c r="A543" s="120"/>
      <c r="B543" s="143"/>
      <c r="C543" s="120"/>
      <c r="D543" s="144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 ht="13.5" customHeight="1">
      <c r="A544" s="120"/>
      <c r="B544" s="143"/>
      <c r="C544" s="120"/>
      <c r="D544" s="144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 ht="13.5" customHeight="1">
      <c r="A545" s="120"/>
      <c r="B545" s="143"/>
      <c r="C545" s="120"/>
      <c r="D545" s="144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 ht="13.5" customHeight="1">
      <c r="A546" s="120"/>
      <c r="B546" s="143"/>
      <c r="C546" s="120"/>
      <c r="D546" s="144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 ht="13.5" customHeight="1">
      <c r="A547" s="120"/>
      <c r="B547" s="143"/>
      <c r="C547" s="120"/>
      <c r="D547" s="144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 ht="13.5" customHeight="1">
      <c r="A548" s="120"/>
      <c r="B548" s="143"/>
      <c r="C548" s="120"/>
      <c r="D548" s="144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 ht="13.5" customHeight="1">
      <c r="A549" s="120"/>
      <c r="B549" s="143"/>
      <c r="C549" s="120"/>
      <c r="D549" s="144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 ht="13.5" customHeight="1">
      <c r="A550" s="120"/>
      <c r="B550" s="143"/>
      <c r="C550" s="120"/>
      <c r="D550" s="144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 ht="13.5" customHeight="1">
      <c r="A551" s="120"/>
      <c r="B551" s="143"/>
      <c r="C551" s="120"/>
      <c r="D551" s="144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 ht="13.5" customHeight="1">
      <c r="A552" s="120"/>
      <c r="B552" s="143"/>
      <c r="C552" s="120"/>
      <c r="D552" s="144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 ht="13.5" customHeight="1">
      <c r="A553" s="120"/>
      <c r="B553" s="143"/>
      <c r="C553" s="120"/>
      <c r="D553" s="144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 ht="13.5" customHeight="1">
      <c r="A554" s="120"/>
      <c r="B554" s="143"/>
      <c r="C554" s="120"/>
      <c r="D554" s="144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 ht="13.5" customHeight="1">
      <c r="A555" s="120"/>
      <c r="B555" s="143"/>
      <c r="C555" s="120"/>
      <c r="D555" s="144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 ht="13.5" customHeight="1">
      <c r="A556" s="120"/>
      <c r="B556" s="143"/>
      <c r="C556" s="120"/>
      <c r="D556" s="144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 ht="13.5" customHeight="1">
      <c r="A557" s="120"/>
      <c r="B557" s="143"/>
      <c r="C557" s="120"/>
      <c r="D557" s="144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 ht="13.5" customHeight="1">
      <c r="A558" s="120"/>
      <c r="B558" s="143"/>
      <c r="C558" s="120"/>
      <c r="D558" s="144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 ht="13.5" customHeight="1">
      <c r="A559" s="120"/>
      <c r="B559" s="143"/>
      <c r="C559" s="120"/>
      <c r="D559" s="144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 ht="13.5" customHeight="1">
      <c r="A560" s="120"/>
      <c r="B560" s="143"/>
      <c r="C560" s="120"/>
      <c r="D560" s="144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 ht="13.5" customHeight="1">
      <c r="A561" s="120"/>
      <c r="B561" s="143"/>
      <c r="C561" s="120"/>
      <c r="D561" s="144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 ht="13.5" customHeight="1">
      <c r="A562" s="120"/>
      <c r="B562" s="143"/>
      <c r="C562" s="120"/>
      <c r="D562" s="144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 ht="13.5" customHeight="1">
      <c r="A563" s="120"/>
      <c r="B563" s="143"/>
      <c r="C563" s="120"/>
      <c r="D563" s="144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 ht="13.5" customHeight="1">
      <c r="A564" s="120"/>
      <c r="B564" s="143"/>
      <c r="C564" s="120"/>
      <c r="D564" s="144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 ht="13.5" customHeight="1">
      <c r="A565" s="120"/>
      <c r="B565" s="143"/>
      <c r="C565" s="120"/>
      <c r="D565" s="144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 ht="13.5" customHeight="1">
      <c r="A566" s="120"/>
      <c r="B566" s="143"/>
      <c r="C566" s="120"/>
      <c r="D566" s="144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 ht="13.5" customHeight="1">
      <c r="A567" s="120"/>
      <c r="B567" s="143"/>
      <c r="C567" s="120"/>
      <c r="D567" s="144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 ht="13.5" customHeight="1">
      <c r="A568" s="120"/>
      <c r="B568" s="143"/>
      <c r="C568" s="120"/>
      <c r="D568" s="144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 ht="13.5" customHeight="1">
      <c r="A569" s="120"/>
      <c r="B569" s="143"/>
      <c r="C569" s="120"/>
      <c r="D569" s="144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 ht="13.5" customHeight="1">
      <c r="A570" s="120"/>
      <c r="B570" s="143"/>
      <c r="C570" s="120"/>
      <c r="D570" s="144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 ht="13.5" customHeight="1">
      <c r="A571" s="120"/>
      <c r="B571" s="143"/>
      <c r="C571" s="120"/>
      <c r="D571" s="144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 ht="13.5" customHeight="1">
      <c r="A572" s="120"/>
      <c r="B572" s="143"/>
      <c r="C572" s="120"/>
      <c r="D572" s="144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 ht="13.5" customHeight="1">
      <c r="A573" s="120"/>
      <c r="B573" s="143"/>
      <c r="C573" s="120"/>
      <c r="D573" s="144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 ht="13.5" customHeight="1">
      <c r="A574" s="120"/>
      <c r="B574" s="143"/>
      <c r="C574" s="120"/>
      <c r="D574" s="144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 ht="13.5" customHeight="1">
      <c r="A575" s="120"/>
      <c r="B575" s="143"/>
      <c r="C575" s="120"/>
      <c r="D575" s="144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 ht="13.5" customHeight="1">
      <c r="A576" s="120"/>
      <c r="B576" s="143"/>
      <c r="C576" s="120"/>
      <c r="D576" s="144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 ht="13.5" customHeight="1">
      <c r="A577" s="120"/>
      <c r="B577" s="143"/>
      <c r="C577" s="120"/>
      <c r="D577" s="144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 ht="13.5" customHeight="1">
      <c r="A578" s="120"/>
      <c r="B578" s="143"/>
      <c r="C578" s="120"/>
      <c r="D578" s="144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 ht="13.5" customHeight="1">
      <c r="A579" s="120"/>
      <c r="B579" s="143"/>
      <c r="C579" s="120"/>
      <c r="D579" s="144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 ht="13.5" customHeight="1">
      <c r="A580" s="120"/>
      <c r="B580" s="143"/>
      <c r="C580" s="120"/>
      <c r="D580" s="144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 ht="13.5" customHeight="1">
      <c r="A581" s="120"/>
      <c r="B581" s="143"/>
      <c r="C581" s="120"/>
      <c r="D581" s="144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 ht="13.5" customHeight="1">
      <c r="A582" s="120"/>
      <c r="B582" s="143"/>
      <c r="C582" s="120"/>
      <c r="D582" s="144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 ht="13.5" customHeight="1">
      <c r="A583" s="120"/>
      <c r="B583" s="143"/>
      <c r="C583" s="120"/>
      <c r="D583" s="144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 ht="13.5" customHeight="1">
      <c r="A584" s="120"/>
      <c r="B584" s="143"/>
      <c r="C584" s="120"/>
      <c r="D584" s="144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 ht="13.5" customHeight="1">
      <c r="A585" s="120"/>
      <c r="B585" s="143"/>
      <c r="C585" s="120"/>
      <c r="D585" s="144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 ht="13.5" customHeight="1">
      <c r="A586" s="120"/>
      <c r="B586" s="143"/>
      <c r="C586" s="120"/>
      <c r="D586" s="144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 ht="13.5" customHeight="1">
      <c r="A587" s="120"/>
      <c r="B587" s="143"/>
      <c r="C587" s="120"/>
      <c r="D587" s="144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 ht="13.5" customHeight="1">
      <c r="A588" s="120"/>
      <c r="B588" s="143"/>
      <c r="C588" s="120"/>
      <c r="D588" s="144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 ht="13.5" customHeight="1">
      <c r="A589" s="120"/>
      <c r="B589" s="143"/>
      <c r="C589" s="120"/>
      <c r="D589" s="144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 ht="13.5" customHeight="1">
      <c r="A590" s="120"/>
      <c r="B590" s="143"/>
      <c r="C590" s="120"/>
      <c r="D590" s="144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 ht="13.5" customHeight="1">
      <c r="A591" s="120"/>
      <c r="B591" s="143"/>
      <c r="C591" s="120"/>
      <c r="D591" s="144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 ht="13.5" customHeight="1">
      <c r="A592" s="120"/>
      <c r="B592" s="143"/>
      <c r="C592" s="120"/>
      <c r="D592" s="144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 ht="13.5" customHeight="1">
      <c r="A593" s="120"/>
      <c r="B593" s="143"/>
      <c r="C593" s="120"/>
      <c r="D593" s="144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 ht="13.5" customHeight="1">
      <c r="A594" s="120"/>
      <c r="B594" s="143"/>
      <c r="C594" s="120"/>
      <c r="D594" s="144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 ht="13.5" customHeight="1">
      <c r="A595" s="120"/>
      <c r="B595" s="143"/>
      <c r="C595" s="120"/>
      <c r="D595" s="144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 ht="13.5" customHeight="1">
      <c r="A596" s="120"/>
      <c r="B596" s="143"/>
      <c r="C596" s="120"/>
      <c r="D596" s="144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 ht="13.5" customHeight="1">
      <c r="A597" s="120"/>
      <c r="B597" s="143"/>
      <c r="C597" s="120"/>
      <c r="D597" s="144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 ht="13.5" customHeight="1">
      <c r="A598" s="120"/>
      <c r="B598" s="143"/>
      <c r="C598" s="120"/>
      <c r="D598" s="144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 ht="13.5" customHeight="1">
      <c r="A599" s="120"/>
      <c r="B599" s="143"/>
      <c r="C599" s="120"/>
      <c r="D599" s="144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 ht="13.5" customHeight="1">
      <c r="A600" s="120"/>
      <c r="B600" s="143"/>
      <c r="C600" s="120"/>
      <c r="D600" s="144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 ht="13.5" customHeight="1">
      <c r="A601" s="120"/>
      <c r="B601" s="143"/>
      <c r="C601" s="120"/>
      <c r="D601" s="144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 ht="13.5" customHeight="1">
      <c r="A602" s="120"/>
      <c r="B602" s="143"/>
      <c r="C602" s="120"/>
      <c r="D602" s="144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 ht="13.5" customHeight="1">
      <c r="A603" s="120"/>
      <c r="B603" s="143"/>
      <c r="C603" s="120"/>
      <c r="D603" s="144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 ht="13.5" customHeight="1">
      <c r="A604" s="120"/>
      <c r="B604" s="143"/>
      <c r="C604" s="120"/>
      <c r="D604" s="144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 ht="13.5" customHeight="1">
      <c r="A605" s="120"/>
      <c r="B605" s="143"/>
      <c r="C605" s="120"/>
      <c r="D605" s="144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 ht="13.5" customHeight="1">
      <c r="A606" s="120"/>
      <c r="B606" s="143"/>
      <c r="C606" s="120"/>
      <c r="D606" s="144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 ht="13.5" customHeight="1">
      <c r="A607" s="120"/>
      <c r="B607" s="143"/>
      <c r="C607" s="120"/>
      <c r="D607" s="144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 ht="13.5" customHeight="1">
      <c r="A608" s="120"/>
      <c r="B608" s="143"/>
      <c r="C608" s="120"/>
      <c r="D608" s="144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 ht="13.5" customHeight="1">
      <c r="A609" s="120"/>
      <c r="B609" s="143"/>
      <c r="C609" s="120"/>
      <c r="D609" s="144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 ht="13.5" customHeight="1">
      <c r="A610" s="120"/>
      <c r="B610" s="143"/>
      <c r="C610" s="120"/>
      <c r="D610" s="144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 ht="13.5" customHeight="1">
      <c r="A611" s="120"/>
      <c r="B611" s="143"/>
      <c r="C611" s="120"/>
      <c r="D611" s="144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 ht="13.5" customHeight="1">
      <c r="A612" s="120"/>
      <c r="B612" s="143"/>
      <c r="C612" s="120"/>
      <c r="D612" s="144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 ht="13.5" customHeight="1">
      <c r="A613" s="120"/>
      <c r="B613" s="143"/>
      <c r="C613" s="120"/>
      <c r="D613" s="144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 ht="13.5" customHeight="1">
      <c r="A614" s="120"/>
      <c r="B614" s="143"/>
      <c r="C614" s="120"/>
      <c r="D614" s="144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 ht="13.5" customHeight="1">
      <c r="A615" s="120"/>
      <c r="B615" s="143"/>
      <c r="C615" s="120"/>
      <c r="D615" s="144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 ht="13.5" customHeight="1">
      <c r="A616" s="120"/>
      <c r="B616" s="143"/>
      <c r="C616" s="120"/>
      <c r="D616" s="144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 ht="13.5" customHeight="1">
      <c r="A617" s="120"/>
      <c r="B617" s="143"/>
      <c r="C617" s="120"/>
      <c r="D617" s="144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 ht="13.5" customHeight="1">
      <c r="A618" s="120"/>
      <c r="B618" s="143"/>
      <c r="C618" s="120"/>
      <c r="D618" s="144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 ht="13.5" customHeight="1">
      <c r="A619" s="120"/>
      <c r="B619" s="143"/>
      <c r="C619" s="120"/>
      <c r="D619" s="144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 ht="13.5" customHeight="1">
      <c r="A620" s="120"/>
      <c r="B620" s="143"/>
      <c r="C620" s="120"/>
      <c r="D620" s="144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 ht="13.5" customHeight="1">
      <c r="A621" s="120"/>
      <c r="B621" s="143"/>
      <c r="C621" s="120"/>
      <c r="D621" s="144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 ht="13.5" customHeight="1">
      <c r="A622" s="120"/>
      <c r="B622" s="143"/>
      <c r="C622" s="120"/>
      <c r="D622" s="144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 ht="13.5" customHeight="1">
      <c r="A623" s="120"/>
      <c r="B623" s="143"/>
      <c r="C623" s="120"/>
      <c r="D623" s="144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 ht="13.5" customHeight="1">
      <c r="A624" s="120"/>
      <c r="B624" s="143"/>
      <c r="C624" s="120"/>
      <c r="D624" s="144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 ht="13.5" customHeight="1">
      <c r="A625" s="120"/>
      <c r="B625" s="143"/>
      <c r="C625" s="120"/>
      <c r="D625" s="144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 ht="13.5" customHeight="1">
      <c r="A626" s="120"/>
      <c r="B626" s="143"/>
      <c r="C626" s="120"/>
      <c r="D626" s="144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 ht="13.5" customHeight="1">
      <c r="A627" s="120"/>
      <c r="B627" s="143"/>
      <c r="C627" s="120"/>
      <c r="D627" s="144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 ht="13.5" customHeight="1">
      <c r="A628" s="120"/>
      <c r="B628" s="143"/>
      <c r="C628" s="120"/>
      <c r="D628" s="144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 ht="13.5" customHeight="1">
      <c r="A629" s="120"/>
      <c r="B629" s="143"/>
      <c r="C629" s="120"/>
      <c r="D629" s="144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 ht="13.5" customHeight="1">
      <c r="A630" s="120"/>
      <c r="B630" s="143"/>
      <c r="C630" s="120"/>
      <c r="D630" s="144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 ht="13.5" customHeight="1">
      <c r="A631" s="120"/>
      <c r="B631" s="143"/>
      <c r="C631" s="120"/>
      <c r="D631" s="144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 ht="13.5" customHeight="1">
      <c r="A632" s="120"/>
      <c r="B632" s="143"/>
      <c r="C632" s="120"/>
      <c r="D632" s="144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 ht="13.5" customHeight="1">
      <c r="A633" s="120"/>
      <c r="B633" s="143"/>
      <c r="C633" s="120"/>
      <c r="D633" s="144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 ht="13.5" customHeight="1">
      <c r="A634" s="120"/>
      <c r="B634" s="143"/>
      <c r="C634" s="120"/>
      <c r="D634" s="144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 ht="13.5" customHeight="1">
      <c r="A635" s="120"/>
      <c r="B635" s="143"/>
      <c r="C635" s="120"/>
      <c r="D635" s="144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 ht="13.5" customHeight="1">
      <c r="A636" s="120"/>
      <c r="B636" s="143"/>
      <c r="C636" s="120"/>
      <c r="D636" s="144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 ht="13.5" customHeight="1">
      <c r="A637" s="120"/>
      <c r="B637" s="143"/>
      <c r="C637" s="120"/>
      <c r="D637" s="144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 ht="13.5" customHeight="1">
      <c r="A638" s="120"/>
      <c r="B638" s="143"/>
      <c r="C638" s="120"/>
      <c r="D638" s="144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 ht="13.5" customHeight="1">
      <c r="A639" s="120"/>
      <c r="B639" s="143"/>
      <c r="C639" s="120"/>
      <c r="D639" s="144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 ht="13.5" customHeight="1">
      <c r="A640" s="120"/>
      <c r="B640" s="143"/>
      <c r="C640" s="120"/>
      <c r="D640" s="144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 ht="13.5" customHeight="1">
      <c r="A641" s="120"/>
      <c r="B641" s="143"/>
      <c r="C641" s="120"/>
      <c r="D641" s="144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 ht="13.5" customHeight="1">
      <c r="A642" s="120"/>
      <c r="B642" s="143"/>
      <c r="C642" s="120"/>
      <c r="D642" s="144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 ht="13.5" customHeight="1">
      <c r="A643" s="120"/>
      <c r="B643" s="143"/>
      <c r="C643" s="120"/>
      <c r="D643" s="144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 ht="13.5" customHeight="1">
      <c r="A644" s="120"/>
      <c r="B644" s="143"/>
      <c r="C644" s="120"/>
      <c r="D644" s="144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 ht="13.5" customHeight="1">
      <c r="A645" s="120"/>
      <c r="B645" s="143"/>
      <c r="C645" s="120"/>
      <c r="D645" s="144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 ht="13.5" customHeight="1">
      <c r="A646" s="120"/>
      <c r="B646" s="143"/>
      <c r="C646" s="120"/>
      <c r="D646" s="144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 ht="13.5" customHeight="1">
      <c r="A647" s="120"/>
      <c r="B647" s="143"/>
      <c r="C647" s="120"/>
      <c r="D647" s="144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 ht="13.5" customHeight="1">
      <c r="A648" s="120"/>
      <c r="B648" s="143"/>
      <c r="C648" s="120"/>
      <c r="D648" s="144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 ht="13.5" customHeight="1">
      <c r="A649" s="120"/>
      <c r="B649" s="143"/>
      <c r="C649" s="120"/>
      <c r="D649" s="144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 ht="13.5" customHeight="1">
      <c r="A650" s="120"/>
      <c r="B650" s="143"/>
      <c r="C650" s="120"/>
      <c r="D650" s="144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 ht="13.5" customHeight="1">
      <c r="A651" s="120"/>
      <c r="B651" s="143"/>
      <c r="C651" s="120"/>
      <c r="D651" s="144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 ht="13.5" customHeight="1">
      <c r="A652" s="120"/>
      <c r="B652" s="143"/>
      <c r="C652" s="120"/>
      <c r="D652" s="144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 ht="13.5" customHeight="1">
      <c r="A653" s="120"/>
      <c r="B653" s="143"/>
      <c r="C653" s="120"/>
      <c r="D653" s="144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 ht="13.5" customHeight="1">
      <c r="A654" s="120"/>
      <c r="B654" s="143"/>
      <c r="C654" s="120"/>
      <c r="D654" s="144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 ht="13.5" customHeight="1">
      <c r="A655" s="120"/>
      <c r="B655" s="143"/>
      <c r="C655" s="120"/>
      <c r="D655" s="144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 ht="13.5" customHeight="1">
      <c r="A656" s="120"/>
      <c r="B656" s="143"/>
      <c r="C656" s="120"/>
      <c r="D656" s="144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 ht="13.5" customHeight="1">
      <c r="A657" s="120"/>
      <c r="B657" s="143"/>
      <c r="C657" s="120"/>
      <c r="D657" s="144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 ht="13.5" customHeight="1">
      <c r="A658" s="120"/>
      <c r="B658" s="143"/>
      <c r="C658" s="120"/>
      <c r="D658" s="144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 ht="13.5" customHeight="1">
      <c r="A659" s="120"/>
      <c r="B659" s="143"/>
      <c r="C659" s="120"/>
      <c r="D659" s="144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 ht="13.5" customHeight="1">
      <c r="A660" s="120"/>
      <c r="B660" s="143"/>
      <c r="C660" s="120"/>
      <c r="D660" s="144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 ht="13.5" customHeight="1">
      <c r="A661" s="120"/>
      <c r="B661" s="143"/>
      <c r="C661" s="120"/>
      <c r="D661" s="144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 ht="13.5" customHeight="1">
      <c r="A662" s="120"/>
      <c r="B662" s="143"/>
      <c r="C662" s="120"/>
      <c r="D662" s="144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 ht="13.5" customHeight="1">
      <c r="A663" s="120"/>
      <c r="B663" s="143"/>
      <c r="C663" s="120"/>
      <c r="D663" s="144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 ht="13.5" customHeight="1">
      <c r="A664" s="120"/>
      <c r="B664" s="143"/>
      <c r="C664" s="120"/>
      <c r="D664" s="144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 ht="13.5" customHeight="1">
      <c r="A665" s="120"/>
      <c r="B665" s="143"/>
      <c r="C665" s="120"/>
      <c r="D665" s="144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 ht="13.5" customHeight="1">
      <c r="A666" s="120"/>
      <c r="B666" s="143"/>
      <c r="C666" s="120"/>
      <c r="D666" s="144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 ht="13.5" customHeight="1">
      <c r="A667" s="120"/>
      <c r="B667" s="143"/>
      <c r="C667" s="120"/>
      <c r="D667" s="144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 ht="13.5" customHeight="1">
      <c r="A668" s="120"/>
      <c r="B668" s="143"/>
      <c r="C668" s="120"/>
      <c r="D668" s="144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 ht="13.5" customHeight="1">
      <c r="A669" s="120"/>
      <c r="B669" s="143"/>
      <c r="C669" s="120"/>
      <c r="D669" s="144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 ht="13.5" customHeight="1">
      <c r="A670" s="120"/>
      <c r="B670" s="143"/>
      <c r="C670" s="120"/>
      <c r="D670" s="144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 ht="13.5" customHeight="1">
      <c r="A671" s="120"/>
      <c r="B671" s="143"/>
      <c r="C671" s="120"/>
      <c r="D671" s="144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 ht="13.5" customHeight="1">
      <c r="A672" s="120"/>
      <c r="B672" s="143"/>
      <c r="C672" s="120"/>
      <c r="D672" s="144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 ht="13.5" customHeight="1">
      <c r="A673" s="120"/>
      <c r="B673" s="143"/>
      <c r="C673" s="120"/>
      <c r="D673" s="144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 ht="13.5" customHeight="1">
      <c r="A674" s="120"/>
      <c r="B674" s="143"/>
      <c r="C674" s="120"/>
      <c r="D674" s="144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 ht="13.5" customHeight="1">
      <c r="A675" s="120"/>
      <c r="B675" s="143"/>
      <c r="C675" s="120"/>
      <c r="D675" s="144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 ht="13.5" customHeight="1">
      <c r="A676" s="120"/>
      <c r="B676" s="143"/>
      <c r="C676" s="120"/>
      <c r="D676" s="144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 ht="13.5" customHeight="1">
      <c r="A677" s="120"/>
      <c r="B677" s="143"/>
      <c r="C677" s="120"/>
      <c r="D677" s="144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 ht="13.5" customHeight="1">
      <c r="A678" s="120"/>
      <c r="B678" s="143"/>
      <c r="C678" s="120"/>
      <c r="D678" s="144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 ht="13.5" customHeight="1">
      <c r="A679" s="120"/>
      <c r="B679" s="143"/>
      <c r="C679" s="120"/>
      <c r="D679" s="144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 ht="13.5" customHeight="1">
      <c r="A680" s="120"/>
      <c r="B680" s="143"/>
      <c r="C680" s="120"/>
      <c r="D680" s="144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 ht="13.5" customHeight="1">
      <c r="A681" s="120"/>
      <c r="B681" s="143"/>
      <c r="C681" s="120"/>
      <c r="D681" s="144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 ht="13.5" customHeight="1">
      <c r="A682" s="120"/>
      <c r="B682" s="143"/>
      <c r="C682" s="120"/>
      <c r="D682" s="144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 ht="13.5" customHeight="1">
      <c r="A683" s="120"/>
      <c r="B683" s="143"/>
      <c r="C683" s="120"/>
      <c r="D683" s="144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 ht="13.5" customHeight="1">
      <c r="A684" s="120"/>
      <c r="B684" s="143"/>
      <c r="C684" s="120"/>
      <c r="D684" s="144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 ht="13.5" customHeight="1">
      <c r="A685" s="120"/>
      <c r="B685" s="143"/>
      <c r="C685" s="120"/>
      <c r="D685" s="144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 ht="13.5" customHeight="1">
      <c r="A686" s="120"/>
      <c r="B686" s="143"/>
      <c r="C686" s="120"/>
      <c r="D686" s="144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 ht="13.5" customHeight="1">
      <c r="A687" s="120"/>
      <c r="B687" s="143"/>
      <c r="C687" s="120"/>
      <c r="D687" s="144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 ht="13.5" customHeight="1">
      <c r="A688" s="120"/>
      <c r="B688" s="143"/>
      <c r="C688" s="120"/>
      <c r="D688" s="144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 ht="13.5" customHeight="1">
      <c r="A689" s="120"/>
      <c r="B689" s="143"/>
      <c r="C689" s="120"/>
      <c r="D689" s="144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 ht="13.5" customHeight="1">
      <c r="A690" s="120"/>
      <c r="B690" s="143"/>
      <c r="C690" s="120"/>
      <c r="D690" s="144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 ht="13.5" customHeight="1">
      <c r="A691" s="120"/>
      <c r="B691" s="143"/>
      <c r="C691" s="120"/>
      <c r="D691" s="144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 ht="13.5" customHeight="1">
      <c r="A692" s="120"/>
      <c r="B692" s="143"/>
      <c r="C692" s="120"/>
      <c r="D692" s="144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 ht="13.5" customHeight="1">
      <c r="A693" s="120"/>
      <c r="B693" s="143"/>
      <c r="C693" s="120"/>
      <c r="D693" s="144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 ht="13.5" customHeight="1">
      <c r="A694" s="120"/>
      <c r="B694" s="143"/>
      <c r="C694" s="120"/>
      <c r="D694" s="144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 ht="13.5" customHeight="1">
      <c r="A695" s="120"/>
      <c r="B695" s="143"/>
      <c r="C695" s="120"/>
      <c r="D695" s="144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 ht="13.5" customHeight="1">
      <c r="A696" s="120"/>
      <c r="B696" s="143"/>
      <c r="C696" s="120"/>
      <c r="D696" s="144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 ht="13.5" customHeight="1">
      <c r="A697" s="120"/>
      <c r="B697" s="143"/>
      <c r="C697" s="120"/>
      <c r="D697" s="144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 ht="13.5" customHeight="1">
      <c r="A698" s="120"/>
      <c r="B698" s="143"/>
      <c r="C698" s="120"/>
      <c r="D698" s="144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 ht="13.5" customHeight="1">
      <c r="A699" s="120"/>
      <c r="B699" s="143"/>
      <c r="C699" s="120"/>
      <c r="D699" s="144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 ht="13.5" customHeight="1">
      <c r="A700" s="120"/>
      <c r="B700" s="143"/>
      <c r="C700" s="120"/>
      <c r="D700" s="144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 ht="13.5" customHeight="1">
      <c r="A701" s="120"/>
      <c r="B701" s="143"/>
      <c r="C701" s="120"/>
      <c r="D701" s="144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 ht="13.5" customHeight="1">
      <c r="A702" s="120"/>
      <c r="B702" s="143"/>
      <c r="C702" s="120"/>
      <c r="D702" s="144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 ht="13.5" customHeight="1">
      <c r="A703" s="120"/>
      <c r="B703" s="143"/>
      <c r="C703" s="120"/>
      <c r="D703" s="144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</row>
    <row r="704" ht="13.5" customHeight="1">
      <c r="A704" s="120"/>
      <c r="B704" s="143"/>
      <c r="C704" s="120"/>
      <c r="D704" s="144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</row>
    <row r="705" ht="13.5" customHeight="1">
      <c r="A705" s="120"/>
      <c r="B705" s="143"/>
      <c r="C705" s="120"/>
      <c r="D705" s="144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</row>
    <row r="706" ht="13.5" customHeight="1">
      <c r="A706" s="120"/>
      <c r="B706" s="143"/>
      <c r="C706" s="120"/>
      <c r="D706" s="144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</row>
    <row r="707" ht="13.5" customHeight="1">
      <c r="A707" s="120"/>
      <c r="B707" s="143"/>
      <c r="C707" s="120"/>
      <c r="D707" s="144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</row>
    <row r="708" ht="13.5" customHeight="1">
      <c r="A708" s="120"/>
      <c r="B708" s="143"/>
      <c r="C708" s="120"/>
      <c r="D708" s="144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</row>
    <row r="709" ht="13.5" customHeight="1">
      <c r="A709" s="120"/>
      <c r="B709" s="143"/>
      <c r="C709" s="120"/>
      <c r="D709" s="144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</row>
    <row r="710" ht="13.5" customHeight="1">
      <c r="A710" s="120"/>
      <c r="B710" s="143"/>
      <c r="C710" s="120"/>
      <c r="D710" s="144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</row>
    <row r="711" ht="13.5" customHeight="1">
      <c r="A711" s="120"/>
      <c r="B711" s="143"/>
      <c r="C711" s="120"/>
      <c r="D711" s="144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</row>
    <row r="712" ht="13.5" customHeight="1">
      <c r="A712" s="120"/>
      <c r="B712" s="143"/>
      <c r="C712" s="120"/>
      <c r="D712" s="144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</row>
    <row r="713" ht="13.5" customHeight="1">
      <c r="A713" s="120"/>
      <c r="B713" s="143"/>
      <c r="C713" s="120"/>
      <c r="D713" s="144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</row>
    <row r="714" ht="13.5" customHeight="1">
      <c r="A714" s="120"/>
      <c r="B714" s="143"/>
      <c r="C714" s="120"/>
      <c r="D714" s="144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</row>
    <row r="715" ht="13.5" customHeight="1">
      <c r="A715" s="120"/>
      <c r="B715" s="143"/>
      <c r="C715" s="120"/>
      <c r="D715" s="144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</row>
    <row r="716" ht="13.5" customHeight="1">
      <c r="A716" s="120"/>
      <c r="B716" s="143"/>
      <c r="C716" s="120"/>
      <c r="D716" s="144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</row>
    <row r="717" ht="13.5" customHeight="1">
      <c r="A717" s="120"/>
      <c r="B717" s="143"/>
      <c r="C717" s="120"/>
      <c r="D717" s="144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</row>
    <row r="718" ht="13.5" customHeight="1">
      <c r="A718" s="120"/>
      <c r="B718" s="143"/>
      <c r="C718" s="120"/>
      <c r="D718" s="144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</row>
    <row r="719" ht="13.5" customHeight="1">
      <c r="A719" s="120"/>
      <c r="B719" s="143"/>
      <c r="C719" s="120"/>
      <c r="D719" s="144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</row>
    <row r="720" ht="13.5" customHeight="1">
      <c r="A720" s="120"/>
      <c r="B720" s="143"/>
      <c r="C720" s="120"/>
      <c r="D720" s="144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</row>
    <row r="721" ht="13.5" customHeight="1">
      <c r="A721" s="120"/>
      <c r="B721" s="143"/>
      <c r="C721" s="120"/>
      <c r="D721" s="144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</row>
    <row r="722" ht="13.5" customHeight="1">
      <c r="A722" s="120"/>
      <c r="B722" s="143"/>
      <c r="C722" s="120"/>
      <c r="D722" s="144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</row>
    <row r="723" ht="13.5" customHeight="1">
      <c r="A723" s="120"/>
      <c r="B723" s="143"/>
      <c r="C723" s="120"/>
      <c r="D723" s="144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</row>
    <row r="724" ht="13.5" customHeight="1">
      <c r="A724" s="120"/>
      <c r="B724" s="143"/>
      <c r="C724" s="120"/>
      <c r="D724" s="144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</row>
    <row r="725" ht="13.5" customHeight="1">
      <c r="A725" s="120"/>
      <c r="B725" s="143"/>
      <c r="C725" s="120"/>
      <c r="D725" s="144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</row>
    <row r="726" ht="13.5" customHeight="1">
      <c r="A726" s="120"/>
      <c r="B726" s="143"/>
      <c r="C726" s="120"/>
      <c r="D726" s="144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</row>
    <row r="727" ht="13.5" customHeight="1">
      <c r="A727" s="120"/>
      <c r="B727" s="143"/>
      <c r="C727" s="120"/>
      <c r="D727" s="144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</row>
    <row r="728" ht="13.5" customHeight="1">
      <c r="A728" s="120"/>
      <c r="B728" s="143"/>
      <c r="C728" s="120"/>
      <c r="D728" s="144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</row>
    <row r="729" ht="13.5" customHeight="1">
      <c r="A729" s="120"/>
      <c r="B729" s="143"/>
      <c r="C729" s="120"/>
      <c r="D729" s="144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</row>
    <row r="730" ht="13.5" customHeight="1">
      <c r="A730" s="120"/>
      <c r="B730" s="143"/>
      <c r="C730" s="120"/>
      <c r="D730" s="144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 ht="13.5" customHeight="1">
      <c r="A731" s="120"/>
      <c r="B731" s="143"/>
      <c r="C731" s="120"/>
      <c r="D731" s="144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 ht="13.5" customHeight="1">
      <c r="A732" s="120"/>
      <c r="B732" s="143"/>
      <c r="C732" s="120"/>
      <c r="D732" s="144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 ht="13.5" customHeight="1">
      <c r="A733" s="120"/>
      <c r="B733" s="143"/>
      <c r="C733" s="120"/>
      <c r="D733" s="144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 ht="13.5" customHeight="1">
      <c r="A734" s="120"/>
      <c r="B734" s="143"/>
      <c r="C734" s="120"/>
      <c r="D734" s="144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 ht="13.5" customHeight="1">
      <c r="A735" s="120"/>
      <c r="B735" s="143"/>
      <c r="C735" s="120"/>
      <c r="D735" s="144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 ht="13.5" customHeight="1">
      <c r="A736" s="120"/>
      <c r="B736" s="143"/>
      <c r="C736" s="120"/>
      <c r="D736" s="144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 ht="13.5" customHeight="1">
      <c r="A737" s="120"/>
      <c r="B737" s="143"/>
      <c r="C737" s="120"/>
      <c r="D737" s="144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 ht="13.5" customHeight="1">
      <c r="A738" s="120"/>
      <c r="B738" s="143"/>
      <c r="C738" s="120"/>
      <c r="D738" s="144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 ht="13.5" customHeight="1">
      <c r="A739" s="120"/>
      <c r="B739" s="143"/>
      <c r="C739" s="120"/>
      <c r="D739" s="144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 ht="13.5" customHeight="1">
      <c r="A740" s="120"/>
      <c r="B740" s="143"/>
      <c r="C740" s="120"/>
      <c r="D740" s="144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 ht="13.5" customHeight="1">
      <c r="A741" s="120"/>
      <c r="B741" s="143"/>
      <c r="C741" s="120"/>
      <c r="D741" s="144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 ht="13.5" customHeight="1">
      <c r="A742" s="120"/>
      <c r="B742" s="143"/>
      <c r="C742" s="120"/>
      <c r="D742" s="144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 ht="13.5" customHeight="1">
      <c r="A743" s="120"/>
      <c r="B743" s="143"/>
      <c r="C743" s="120"/>
      <c r="D743" s="144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 ht="13.5" customHeight="1">
      <c r="A744" s="120"/>
      <c r="B744" s="143"/>
      <c r="C744" s="120"/>
      <c r="D744" s="144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 ht="13.5" customHeight="1">
      <c r="A745" s="120"/>
      <c r="B745" s="143"/>
      <c r="C745" s="120"/>
      <c r="D745" s="144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 ht="13.5" customHeight="1">
      <c r="A746" s="120"/>
      <c r="B746" s="143"/>
      <c r="C746" s="120"/>
      <c r="D746" s="144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 ht="13.5" customHeight="1">
      <c r="A747" s="120"/>
      <c r="B747" s="143"/>
      <c r="C747" s="120"/>
      <c r="D747" s="144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 ht="13.5" customHeight="1">
      <c r="A748" s="120"/>
      <c r="B748" s="143"/>
      <c r="C748" s="120"/>
      <c r="D748" s="144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 ht="13.5" customHeight="1">
      <c r="A749" s="120"/>
      <c r="B749" s="143"/>
      <c r="C749" s="120"/>
      <c r="D749" s="144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 ht="13.5" customHeight="1">
      <c r="A750" s="120"/>
      <c r="B750" s="143"/>
      <c r="C750" s="120"/>
      <c r="D750" s="144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 ht="13.5" customHeight="1">
      <c r="A751" s="120"/>
      <c r="B751" s="143"/>
      <c r="C751" s="120"/>
      <c r="D751" s="144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 ht="13.5" customHeight="1">
      <c r="A752" s="120"/>
      <c r="B752" s="143"/>
      <c r="C752" s="120"/>
      <c r="D752" s="144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 ht="13.5" customHeight="1">
      <c r="A753" s="120"/>
      <c r="B753" s="143"/>
      <c r="C753" s="120"/>
      <c r="D753" s="144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 ht="13.5" customHeight="1">
      <c r="A754" s="120"/>
      <c r="B754" s="143"/>
      <c r="C754" s="120"/>
      <c r="D754" s="144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 ht="13.5" customHeight="1">
      <c r="A755" s="120"/>
      <c r="B755" s="143"/>
      <c r="C755" s="120"/>
      <c r="D755" s="144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 ht="13.5" customHeight="1">
      <c r="A756" s="120"/>
      <c r="B756" s="143"/>
      <c r="C756" s="120"/>
      <c r="D756" s="144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 ht="13.5" customHeight="1">
      <c r="A757" s="120"/>
      <c r="B757" s="143"/>
      <c r="C757" s="120"/>
      <c r="D757" s="144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 ht="13.5" customHeight="1">
      <c r="A758" s="120"/>
      <c r="B758" s="143"/>
      <c r="C758" s="120"/>
      <c r="D758" s="144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 ht="13.5" customHeight="1">
      <c r="A759" s="120"/>
      <c r="B759" s="143"/>
      <c r="C759" s="120"/>
      <c r="D759" s="144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 ht="13.5" customHeight="1">
      <c r="A760" s="120"/>
      <c r="B760" s="143"/>
      <c r="C760" s="120"/>
      <c r="D760" s="144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 ht="13.5" customHeight="1">
      <c r="A761" s="120"/>
      <c r="B761" s="143"/>
      <c r="C761" s="120"/>
      <c r="D761" s="144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 ht="13.5" customHeight="1">
      <c r="A762" s="120"/>
      <c r="B762" s="143"/>
      <c r="C762" s="120"/>
      <c r="D762" s="144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 ht="13.5" customHeight="1">
      <c r="A763" s="120"/>
      <c r="B763" s="143"/>
      <c r="C763" s="120"/>
      <c r="D763" s="144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 ht="13.5" customHeight="1">
      <c r="A764" s="120"/>
      <c r="B764" s="143"/>
      <c r="C764" s="120"/>
      <c r="D764" s="144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 ht="13.5" customHeight="1">
      <c r="A765" s="120"/>
      <c r="B765" s="143"/>
      <c r="C765" s="120"/>
      <c r="D765" s="144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 ht="13.5" customHeight="1">
      <c r="A766" s="120"/>
      <c r="B766" s="143"/>
      <c r="C766" s="120"/>
      <c r="D766" s="144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 ht="13.5" customHeight="1">
      <c r="A767" s="120"/>
      <c r="B767" s="143"/>
      <c r="C767" s="120"/>
      <c r="D767" s="144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 ht="13.5" customHeight="1">
      <c r="A768" s="120"/>
      <c r="B768" s="143"/>
      <c r="C768" s="120"/>
      <c r="D768" s="144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 ht="13.5" customHeight="1">
      <c r="A769" s="120"/>
      <c r="B769" s="143"/>
      <c r="C769" s="120"/>
      <c r="D769" s="144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 ht="13.5" customHeight="1">
      <c r="A770" s="120"/>
      <c r="B770" s="143"/>
      <c r="C770" s="120"/>
      <c r="D770" s="144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 ht="13.5" customHeight="1">
      <c r="A771" s="120"/>
      <c r="B771" s="143"/>
      <c r="C771" s="120"/>
      <c r="D771" s="144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 ht="13.5" customHeight="1">
      <c r="A772" s="120"/>
      <c r="B772" s="143"/>
      <c r="C772" s="120"/>
      <c r="D772" s="144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 ht="13.5" customHeight="1">
      <c r="A773" s="120"/>
      <c r="B773" s="143"/>
      <c r="C773" s="120"/>
      <c r="D773" s="144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 ht="13.5" customHeight="1">
      <c r="A774" s="120"/>
      <c r="B774" s="143"/>
      <c r="C774" s="120"/>
      <c r="D774" s="144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 ht="13.5" customHeight="1">
      <c r="A775" s="120"/>
      <c r="B775" s="143"/>
      <c r="C775" s="120"/>
      <c r="D775" s="144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 ht="13.5" customHeight="1">
      <c r="A776" s="120"/>
      <c r="B776" s="143"/>
      <c r="C776" s="120"/>
      <c r="D776" s="144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 ht="13.5" customHeight="1">
      <c r="A777" s="120"/>
      <c r="B777" s="143"/>
      <c r="C777" s="120"/>
      <c r="D777" s="144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 ht="13.5" customHeight="1">
      <c r="A778" s="120"/>
      <c r="B778" s="143"/>
      <c r="C778" s="120"/>
      <c r="D778" s="144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 ht="13.5" customHeight="1">
      <c r="A779" s="120"/>
      <c r="B779" s="143"/>
      <c r="C779" s="120"/>
      <c r="D779" s="144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 ht="13.5" customHeight="1">
      <c r="A780" s="120"/>
      <c r="B780" s="143"/>
      <c r="C780" s="120"/>
      <c r="D780" s="144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 ht="13.5" customHeight="1">
      <c r="A781" s="120"/>
      <c r="B781" s="143"/>
      <c r="C781" s="120"/>
      <c r="D781" s="144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 ht="13.5" customHeight="1">
      <c r="A782" s="120"/>
      <c r="B782" s="143"/>
      <c r="C782" s="120"/>
      <c r="D782" s="144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 ht="13.5" customHeight="1">
      <c r="A783" s="120"/>
      <c r="B783" s="143"/>
      <c r="C783" s="120"/>
      <c r="D783" s="144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 ht="13.5" customHeight="1">
      <c r="A784" s="120"/>
      <c r="B784" s="143"/>
      <c r="C784" s="120"/>
      <c r="D784" s="144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 ht="13.5" customHeight="1">
      <c r="A785" s="120"/>
      <c r="B785" s="143"/>
      <c r="C785" s="120"/>
      <c r="D785" s="144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 ht="13.5" customHeight="1">
      <c r="A786" s="120"/>
      <c r="B786" s="143"/>
      <c r="C786" s="120"/>
      <c r="D786" s="144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 ht="13.5" customHeight="1">
      <c r="A787" s="120"/>
      <c r="B787" s="143"/>
      <c r="C787" s="120"/>
      <c r="D787" s="144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 ht="13.5" customHeight="1">
      <c r="A788" s="120"/>
      <c r="B788" s="143"/>
      <c r="C788" s="120"/>
      <c r="D788" s="144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 ht="13.5" customHeight="1">
      <c r="A789" s="120"/>
      <c r="B789" s="143"/>
      <c r="C789" s="120"/>
      <c r="D789" s="144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 ht="13.5" customHeight="1">
      <c r="A790" s="120"/>
      <c r="B790" s="143"/>
      <c r="C790" s="120"/>
      <c r="D790" s="144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 ht="13.5" customHeight="1">
      <c r="A791" s="120"/>
      <c r="B791" s="143"/>
      <c r="C791" s="120"/>
      <c r="D791" s="144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 ht="13.5" customHeight="1">
      <c r="A792" s="120"/>
      <c r="B792" s="143"/>
      <c r="C792" s="120"/>
      <c r="D792" s="144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 ht="13.5" customHeight="1">
      <c r="A793" s="120"/>
      <c r="B793" s="143"/>
      <c r="C793" s="120"/>
      <c r="D793" s="144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 ht="13.5" customHeight="1">
      <c r="A794" s="120"/>
      <c r="B794" s="143"/>
      <c r="C794" s="120"/>
      <c r="D794" s="144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 ht="13.5" customHeight="1">
      <c r="A795" s="120"/>
      <c r="B795" s="143"/>
      <c r="C795" s="120"/>
      <c r="D795" s="144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 ht="13.5" customHeight="1">
      <c r="A796" s="120"/>
      <c r="B796" s="143"/>
      <c r="C796" s="120"/>
      <c r="D796" s="144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 ht="13.5" customHeight="1">
      <c r="A797" s="120"/>
      <c r="B797" s="143"/>
      <c r="C797" s="120"/>
      <c r="D797" s="144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 ht="13.5" customHeight="1">
      <c r="A798" s="120"/>
      <c r="B798" s="143"/>
      <c r="C798" s="120"/>
      <c r="D798" s="144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 ht="13.5" customHeight="1">
      <c r="A799" s="120"/>
      <c r="B799" s="143"/>
      <c r="C799" s="120"/>
      <c r="D799" s="144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 ht="13.5" customHeight="1">
      <c r="A800" s="120"/>
      <c r="B800" s="143"/>
      <c r="C800" s="120"/>
      <c r="D800" s="144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 ht="13.5" customHeight="1">
      <c r="A801" s="120"/>
      <c r="B801" s="143"/>
      <c r="C801" s="120"/>
      <c r="D801" s="144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 ht="13.5" customHeight="1">
      <c r="A802" s="120"/>
      <c r="B802" s="143"/>
      <c r="C802" s="120"/>
      <c r="D802" s="144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 ht="13.5" customHeight="1">
      <c r="A803" s="120"/>
      <c r="B803" s="143"/>
      <c r="C803" s="120"/>
      <c r="D803" s="144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 ht="13.5" customHeight="1">
      <c r="A804" s="120"/>
      <c r="B804" s="143"/>
      <c r="C804" s="120"/>
      <c r="D804" s="144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 ht="13.5" customHeight="1">
      <c r="A805" s="120"/>
      <c r="B805" s="143"/>
      <c r="C805" s="120"/>
      <c r="D805" s="144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 ht="13.5" customHeight="1">
      <c r="A806" s="120"/>
      <c r="B806" s="143"/>
      <c r="C806" s="120"/>
      <c r="D806" s="144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 ht="13.5" customHeight="1">
      <c r="A807" s="120"/>
      <c r="B807" s="143"/>
      <c r="C807" s="120"/>
      <c r="D807" s="144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 ht="13.5" customHeight="1">
      <c r="A808" s="120"/>
      <c r="B808" s="143"/>
      <c r="C808" s="120"/>
      <c r="D808" s="144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 ht="13.5" customHeight="1">
      <c r="A809" s="120"/>
      <c r="B809" s="143"/>
      <c r="C809" s="120"/>
      <c r="D809" s="144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 ht="13.5" customHeight="1">
      <c r="A810" s="120"/>
      <c r="B810" s="143"/>
      <c r="C810" s="120"/>
      <c r="D810" s="144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 ht="13.5" customHeight="1">
      <c r="A811" s="120"/>
      <c r="B811" s="143"/>
      <c r="C811" s="120"/>
      <c r="D811" s="144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 ht="13.5" customHeight="1">
      <c r="A812" s="120"/>
      <c r="B812" s="143"/>
      <c r="C812" s="120"/>
      <c r="D812" s="144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 ht="13.5" customHeight="1">
      <c r="A813" s="120"/>
      <c r="B813" s="143"/>
      <c r="C813" s="120"/>
      <c r="D813" s="144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 ht="13.5" customHeight="1">
      <c r="A814" s="120"/>
      <c r="B814" s="143"/>
      <c r="C814" s="120"/>
      <c r="D814" s="144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 ht="13.5" customHeight="1">
      <c r="A815" s="120"/>
      <c r="B815" s="143"/>
      <c r="C815" s="120"/>
      <c r="D815" s="144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 ht="13.5" customHeight="1">
      <c r="A816" s="120"/>
      <c r="B816" s="143"/>
      <c r="C816" s="120"/>
      <c r="D816" s="144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 ht="13.5" customHeight="1">
      <c r="A817" s="120"/>
      <c r="B817" s="143"/>
      <c r="C817" s="120"/>
      <c r="D817" s="144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 ht="13.5" customHeight="1">
      <c r="A818" s="120"/>
      <c r="B818" s="143"/>
      <c r="C818" s="120"/>
      <c r="D818" s="144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 ht="13.5" customHeight="1">
      <c r="A819" s="120"/>
      <c r="B819" s="143"/>
      <c r="C819" s="120"/>
      <c r="D819" s="144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 ht="13.5" customHeight="1">
      <c r="A820" s="120"/>
      <c r="B820" s="143"/>
      <c r="C820" s="120"/>
      <c r="D820" s="144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 ht="13.5" customHeight="1">
      <c r="A821" s="120"/>
      <c r="B821" s="143"/>
      <c r="C821" s="120"/>
      <c r="D821" s="144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 ht="13.5" customHeight="1">
      <c r="A822" s="120"/>
      <c r="B822" s="143"/>
      <c r="C822" s="120"/>
      <c r="D822" s="144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 ht="13.5" customHeight="1">
      <c r="A823" s="120"/>
      <c r="B823" s="143"/>
      <c r="C823" s="120"/>
      <c r="D823" s="144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 ht="13.5" customHeight="1">
      <c r="A824" s="120"/>
      <c r="B824" s="143"/>
      <c r="C824" s="120"/>
      <c r="D824" s="144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 ht="13.5" customHeight="1">
      <c r="A825" s="120"/>
      <c r="B825" s="143"/>
      <c r="C825" s="120"/>
      <c r="D825" s="144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 ht="13.5" customHeight="1">
      <c r="A826" s="120"/>
      <c r="B826" s="143"/>
      <c r="C826" s="120"/>
      <c r="D826" s="144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 ht="13.5" customHeight="1">
      <c r="A827" s="120"/>
      <c r="B827" s="143"/>
      <c r="C827" s="120"/>
      <c r="D827" s="144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 ht="13.5" customHeight="1">
      <c r="A828" s="120"/>
      <c r="B828" s="143"/>
      <c r="C828" s="120"/>
      <c r="D828" s="144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 ht="13.5" customHeight="1">
      <c r="A829" s="120"/>
      <c r="B829" s="143"/>
      <c r="C829" s="120"/>
      <c r="D829" s="144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 ht="13.5" customHeight="1">
      <c r="A830" s="120"/>
      <c r="B830" s="143"/>
      <c r="C830" s="120"/>
      <c r="D830" s="144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 ht="13.5" customHeight="1">
      <c r="A831" s="120"/>
      <c r="B831" s="143"/>
      <c r="C831" s="120"/>
      <c r="D831" s="144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 ht="13.5" customHeight="1">
      <c r="A832" s="120"/>
      <c r="B832" s="143"/>
      <c r="C832" s="120"/>
      <c r="D832" s="144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 ht="13.5" customHeight="1">
      <c r="A833" s="120"/>
      <c r="B833" s="143"/>
      <c r="C833" s="120"/>
      <c r="D833" s="144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 ht="13.5" customHeight="1">
      <c r="A834" s="120"/>
      <c r="B834" s="143"/>
      <c r="C834" s="120"/>
      <c r="D834" s="144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 ht="13.5" customHeight="1">
      <c r="A835" s="120"/>
      <c r="B835" s="143"/>
      <c r="C835" s="120"/>
      <c r="D835" s="144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 ht="13.5" customHeight="1">
      <c r="A836" s="120"/>
      <c r="B836" s="143"/>
      <c r="C836" s="120"/>
      <c r="D836" s="144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 ht="13.5" customHeight="1">
      <c r="A837" s="120"/>
      <c r="B837" s="143"/>
      <c r="C837" s="120"/>
      <c r="D837" s="144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 ht="13.5" customHeight="1">
      <c r="A838" s="120"/>
      <c r="B838" s="143"/>
      <c r="C838" s="120"/>
      <c r="D838" s="144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 ht="13.5" customHeight="1">
      <c r="A839" s="120"/>
      <c r="B839" s="143"/>
      <c r="C839" s="120"/>
      <c r="D839" s="144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 ht="13.5" customHeight="1">
      <c r="A840" s="120"/>
      <c r="B840" s="143"/>
      <c r="C840" s="120"/>
      <c r="D840" s="144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 ht="13.5" customHeight="1">
      <c r="A841" s="120"/>
      <c r="B841" s="143"/>
      <c r="C841" s="120"/>
      <c r="D841" s="144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 ht="13.5" customHeight="1">
      <c r="A842" s="120"/>
      <c r="B842" s="143"/>
      <c r="C842" s="120"/>
      <c r="D842" s="144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 ht="13.5" customHeight="1">
      <c r="A843" s="120"/>
      <c r="B843" s="143"/>
      <c r="C843" s="120"/>
      <c r="D843" s="144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 ht="13.5" customHeight="1">
      <c r="A844" s="120"/>
      <c r="B844" s="143"/>
      <c r="C844" s="120"/>
      <c r="D844" s="144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 ht="13.5" customHeight="1">
      <c r="A845" s="120"/>
      <c r="B845" s="143"/>
      <c r="C845" s="120"/>
      <c r="D845" s="144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 ht="13.5" customHeight="1">
      <c r="A846" s="120"/>
      <c r="B846" s="143"/>
      <c r="C846" s="120"/>
      <c r="D846" s="144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 ht="13.5" customHeight="1">
      <c r="A847" s="120"/>
      <c r="B847" s="143"/>
      <c r="C847" s="120"/>
      <c r="D847" s="144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 ht="13.5" customHeight="1">
      <c r="A848" s="120"/>
      <c r="B848" s="143"/>
      <c r="C848" s="120"/>
      <c r="D848" s="144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 ht="13.5" customHeight="1">
      <c r="A849" s="120"/>
      <c r="B849" s="143"/>
      <c r="C849" s="120"/>
      <c r="D849" s="144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 ht="13.5" customHeight="1">
      <c r="A850" s="120"/>
      <c r="B850" s="143"/>
      <c r="C850" s="120"/>
      <c r="D850" s="144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 ht="13.5" customHeight="1">
      <c r="A851" s="120"/>
      <c r="B851" s="143"/>
      <c r="C851" s="120"/>
      <c r="D851" s="144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 ht="13.5" customHeight="1">
      <c r="A852" s="120"/>
      <c r="B852" s="143"/>
      <c r="C852" s="120"/>
      <c r="D852" s="144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 ht="13.5" customHeight="1">
      <c r="A853" s="120"/>
      <c r="B853" s="143"/>
      <c r="C853" s="120"/>
      <c r="D853" s="144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 ht="13.5" customHeight="1">
      <c r="A854" s="120"/>
      <c r="B854" s="143"/>
      <c r="C854" s="120"/>
      <c r="D854" s="144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 ht="13.5" customHeight="1">
      <c r="A855" s="120"/>
      <c r="B855" s="143"/>
      <c r="C855" s="120"/>
      <c r="D855" s="144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 ht="13.5" customHeight="1">
      <c r="A856" s="120"/>
      <c r="B856" s="143"/>
      <c r="C856" s="120"/>
      <c r="D856" s="144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 ht="13.5" customHeight="1">
      <c r="A857" s="120"/>
      <c r="B857" s="143"/>
      <c r="C857" s="120"/>
      <c r="D857" s="144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 ht="13.5" customHeight="1">
      <c r="A858" s="120"/>
      <c r="B858" s="143"/>
      <c r="C858" s="120"/>
      <c r="D858" s="144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 ht="13.5" customHeight="1">
      <c r="A859" s="120"/>
      <c r="B859" s="143"/>
      <c r="C859" s="120"/>
      <c r="D859" s="144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 ht="13.5" customHeight="1">
      <c r="A860" s="120"/>
      <c r="B860" s="143"/>
      <c r="C860" s="120"/>
      <c r="D860" s="144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 ht="13.5" customHeight="1">
      <c r="A861" s="120"/>
      <c r="B861" s="143"/>
      <c r="C861" s="120"/>
      <c r="D861" s="144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 ht="13.5" customHeight="1">
      <c r="A862" s="120"/>
      <c r="B862" s="143"/>
      <c r="C862" s="120"/>
      <c r="D862" s="144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 ht="13.5" customHeight="1">
      <c r="A863" s="120"/>
      <c r="B863" s="143"/>
      <c r="C863" s="120"/>
      <c r="D863" s="144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 ht="13.5" customHeight="1">
      <c r="A864" s="120"/>
      <c r="B864" s="143"/>
      <c r="C864" s="120"/>
      <c r="D864" s="144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 ht="13.5" customHeight="1">
      <c r="A865" s="120"/>
      <c r="B865" s="143"/>
      <c r="C865" s="120"/>
      <c r="D865" s="144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 ht="13.5" customHeight="1">
      <c r="A866" s="120"/>
      <c r="B866" s="143"/>
      <c r="C866" s="120"/>
      <c r="D866" s="144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 ht="13.5" customHeight="1">
      <c r="A867" s="120"/>
      <c r="B867" s="143"/>
      <c r="C867" s="120"/>
      <c r="D867" s="144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 ht="13.5" customHeight="1">
      <c r="A868" s="120"/>
      <c r="B868" s="143"/>
      <c r="C868" s="120"/>
      <c r="D868" s="144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 ht="13.5" customHeight="1">
      <c r="A869" s="120"/>
      <c r="B869" s="143"/>
      <c r="C869" s="120"/>
      <c r="D869" s="144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 ht="13.5" customHeight="1">
      <c r="A870" s="120"/>
      <c r="B870" s="143"/>
      <c r="C870" s="120"/>
      <c r="D870" s="144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 ht="13.5" customHeight="1">
      <c r="A871" s="120"/>
      <c r="B871" s="143"/>
      <c r="C871" s="120"/>
      <c r="D871" s="144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 ht="13.5" customHeight="1">
      <c r="A872" s="120"/>
      <c r="B872" s="143"/>
      <c r="C872" s="120"/>
      <c r="D872" s="144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 ht="13.5" customHeight="1">
      <c r="A873" s="120"/>
      <c r="B873" s="143"/>
      <c r="C873" s="120"/>
      <c r="D873" s="144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 ht="13.5" customHeight="1">
      <c r="A874" s="120"/>
      <c r="B874" s="143"/>
      <c r="C874" s="120"/>
      <c r="D874" s="144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 ht="13.5" customHeight="1">
      <c r="A875" s="120"/>
      <c r="B875" s="143"/>
      <c r="C875" s="120"/>
      <c r="D875" s="144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 ht="13.5" customHeight="1">
      <c r="A876" s="120"/>
      <c r="B876" s="143"/>
      <c r="C876" s="120"/>
      <c r="D876" s="144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 ht="13.5" customHeight="1">
      <c r="A877" s="120"/>
      <c r="B877" s="143"/>
      <c r="C877" s="120"/>
      <c r="D877" s="144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 ht="13.5" customHeight="1">
      <c r="A878" s="120"/>
      <c r="B878" s="143"/>
      <c r="C878" s="120"/>
      <c r="D878" s="144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 ht="13.5" customHeight="1">
      <c r="A879" s="120"/>
      <c r="B879" s="143"/>
      <c r="C879" s="120"/>
      <c r="D879" s="144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 ht="13.5" customHeight="1">
      <c r="A880" s="120"/>
      <c r="B880" s="143"/>
      <c r="C880" s="120"/>
      <c r="D880" s="144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 ht="13.5" customHeight="1">
      <c r="A881" s="120"/>
      <c r="B881" s="143"/>
      <c r="C881" s="120"/>
      <c r="D881" s="144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 ht="13.5" customHeight="1">
      <c r="A882" s="120"/>
      <c r="B882" s="143"/>
      <c r="C882" s="120"/>
      <c r="D882" s="144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 ht="13.5" customHeight="1">
      <c r="A883" s="120"/>
      <c r="B883" s="143"/>
      <c r="C883" s="120"/>
      <c r="D883" s="144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 ht="13.5" customHeight="1">
      <c r="A884" s="120"/>
      <c r="B884" s="143"/>
      <c r="C884" s="120"/>
      <c r="D884" s="144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 ht="13.5" customHeight="1">
      <c r="A885" s="120"/>
      <c r="B885" s="143"/>
      <c r="C885" s="120"/>
      <c r="D885" s="144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 ht="13.5" customHeight="1">
      <c r="A886" s="120"/>
      <c r="B886" s="143"/>
      <c r="C886" s="120"/>
      <c r="D886" s="144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 ht="13.5" customHeight="1">
      <c r="A887" s="120"/>
      <c r="B887" s="143"/>
      <c r="C887" s="120"/>
      <c r="D887" s="144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 ht="13.5" customHeight="1">
      <c r="A888" s="120"/>
      <c r="B888" s="143"/>
      <c r="C888" s="120"/>
      <c r="D888" s="144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 ht="13.5" customHeight="1">
      <c r="A889" s="120"/>
      <c r="B889" s="143"/>
      <c r="C889" s="120"/>
      <c r="D889" s="144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 ht="13.5" customHeight="1">
      <c r="A890" s="120"/>
      <c r="B890" s="143"/>
      <c r="C890" s="120"/>
      <c r="D890" s="144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 ht="13.5" customHeight="1">
      <c r="A891" s="120"/>
      <c r="B891" s="143"/>
      <c r="C891" s="120"/>
      <c r="D891" s="144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 ht="13.5" customHeight="1">
      <c r="A892" s="120"/>
      <c r="B892" s="143"/>
      <c r="C892" s="120"/>
      <c r="D892" s="144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 ht="13.5" customHeight="1">
      <c r="A893" s="120"/>
      <c r="B893" s="143"/>
      <c r="C893" s="120"/>
      <c r="D893" s="144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 ht="13.5" customHeight="1">
      <c r="A894" s="120"/>
      <c r="B894" s="143"/>
      <c r="C894" s="120"/>
      <c r="D894" s="144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 ht="13.5" customHeight="1">
      <c r="A895" s="120"/>
      <c r="B895" s="143"/>
      <c r="C895" s="120"/>
      <c r="D895" s="144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 ht="13.5" customHeight="1">
      <c r="A896" s="120"/>
      <c r="B896" s="143"/>
      <c r="C896" s="120"/>
      <c r="D896" s="144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 ht="13.5" customHeight="1">
      <c r="A897" s="120"/>
      <c r="B897" s="143"/>
      <c r="C897" s="120"/>
      <c r="D897" s="144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 ht="13.5" customHeight="1">
      <c r="A898" s="120"/>
      <c r="B898" s="143"/>
      <c r="C898" s="120"/>
      <c r="D898" s="144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 ht="13.5" customHeight="1">
      <c r="A899" s="120"/>
      <c r="B899" s="143"/>
      <c r="C899" s="120"/>
      <c r="D899" s="144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 ht="13.5" customHeight="1">
      <c r="A900" s="120"/>
      <c r="B900" s="143"/>
      <c r="C900" s="120"/>
      <c r="D900" s="144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 ht="13.5" customHeight="1">
      <c r="A901" s="120"/>
      <c r="B901" s="143"/>
      <c r="C901" s="120"/>
      <c r="D901" s="144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 ht="13.5" customHeight="1">
      <c r="A902" s="120"/>
      <c r="B902" s="143"/>
      <c r="C902" s="120"/>
      <c r="D902" s="144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 ht="13.5" customHeight="1">
      <c r="A903" s="120"/>
      <c r="B903" s="143"/>
      <c r="C903" s="120"/>
      <c r="D903" s="144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 ht="13.5" customHeight="1">
      <c r="A904" s="120"/>
      <c r="B904" s="143"/>
      <c r="C904" s="120"/>
      <c r="D904" s="144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 ht="13.5" customHeight="1">
      <c r="A905" s="120"/>
      <c r="B905" s="143"/>
      <c r="C905" s="120"/>
      <c r="D905" s="144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 ht="13.5" customHeight="1">
      <c r="A906" s="120"/>
      <c r="B906" s="143"/>
      <c r="C906" s="120"/>
      <c r="D906" s="144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 ht="13.5" customHeight="1">
      <c r="A907" s="120"/>
      <c r="B907" s="143"/>
      <c r="C907" s="120"/>
      <c r="D907" s="144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 ht="13.5" customHeight="1">
      <c r="A908" s="120"/>
      <c r="B908" s="143"/>
      <c r="C908" s="120"/>
      <c r="D908" s="144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 ht="13.5" customHeight="1">
      <c r="A909" s="120"/>
      <c r="B909" s="143"/>
      <c r="C909" s="120"/>
      <c r="D909" s="144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 ht="13.5" customHeight="1">
      <c r="A910" s="120"/>
      <c r="B910" s="143"/>
      <c r="C910" s="120"/>
      <c r="D910" s="144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 ht="13.5" customHeight="1">
      <c r="A911" s="120"/>
      <c r="B911" s="143"/>
      <c r="C911" s="120"/>
      <c r="D911" s="144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 ht="13.5" customHeight="1">
      <c r="A912" s="120"/>
      <c r="B912" s="143"/>
      <c r="C912" s="120"/>
      <c r="D912" s="144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 ht="13.5" customHeight="1">
      <c r="A913" s="120"/>
      <c r="B913" s="143"/>
      <c r="C913" s="120"/>
      <c r="D913" s="144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 ht="13.5" customHeight="1">
      <c r="A914" s="120"/>
      <c r="B914" s="143"/>
      <c r="C914" s="120"/>
      <c r="D914" s="144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 ht="13.5" customHeight="1">
      <c r="A915" s="120"/>
      <c r="B915" s="143"/>
      <c r="C915" s="120"/>
      <c r="D915" s="144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 ht="13.5" customHeight="1">
      <c r="A916" s="120"/>
      <c r="B916" s="143"/>
      <c r="C916" s="120"/>
      <c r="D916" s="144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 ht="13.5" customHeight="1">
      <c r="A917" s="120"/>
      <c r="B917" s="143"/>
      <c r="C917" s="120"/>
      <c r="D917" s="144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 ht="13.5" customHeight="1">
      <c r="A918" s="120"/>
      <c r="B918" s="143"/>
      <c r="C918" s="120"/>
      <c r="D918" s="144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 ht="13.5" customHeight="1">
      <c r="A919" s="120"/>
      <c r="B919" s="143"/>
      <c r="C919" s="120"/>
      <c r="D919" s="144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 ht="13.5" customHeight="1">
      <c r="A920" s="120"/>
      <c r="B920" s="143"/>
      <c r="C920" s="120"/>
      <c r="D920" s="144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 ht="13.5" customHeight="1">
      <c r="A921" s="120"/>
      <c r="B921" s="143"/>
      <c r="C921" s="120"/>
      <c r="D921" s="144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 ht="13.5" customHeight="1">
      <c r="A922" s="120"/>
      <c r="B922" s="143"/>
      <c r="C922" s="120"/>
      <c r="D922" s="144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 ht="13.5" customHeight="1">
      <c r="A923" s="120"/>
      <c r="B923" s="143"/>
      <c r="C923" s="120"/>
      <c r="D923" s="144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 ht="13.5" customHeight="1">
      <c r="A924" s="120"/>
      <c r="B924" s="143"/>
      <c r="C924" s="120"/>
      <c r="D924" s="144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 ht="13.5" customHeight="1">
      <c r="A925" s="120"/>
      <c r="B925" s="143"/>
      <c r="C925" s="120"/>
      <c r="D925" s="144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 ht="13.5" customHeight="1">
      <c r="A926" s="120"/>
      <c r="B926" s="143"/>
      <c r="C926" s="120"/>
      <c r="D926" s="144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 ht="13.5" customHeight="1">
      <c r="A927" s="120"/>
      <c r="B927" s="143"/>
      <c r="C927" s="120"/>
      <c r="D927" s="144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 ht="13.5" customHeight="1">
      <c r="A928" s="120"/>
      <c r="B928" s="143"/>
      <c r="C928" s="120"/>
      <c r="D928" s="144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 ht="13.5" customHeight="1">
      <c r="A929" s="120"/>
      <c r="B929" s="143"/>
      <c r="C929" s="120"/>
      <c r="D929" s="144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 ht="13.5" customHeight="1">
      <c r="A930" s="120"/>
      <c r="B930" s="143"/>
      <c r="C930" s="120"/>
      <c r="D930" s="144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 ht="13.5" customHeight="1">
      <c r="A931" s="120"/>
      <c r="B931" s="143"/>
      <c r="C931" s="120"/>
      <c r="D931" s="144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 ht="13.5" customHeight="1">
      <c r="A932" s="120"/>
      <c r="B932" s="143"/>
      <c r="C932" s="120"/>
      <c r="D932" s="144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 ht="13.5" customHeight="1">
      <c r="A933" s="120"/>
      <c r="B933" s="143"/>
      <c r="C933" s="120"/>
      <c r="D933" s="144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 ht="13.5" customHeight="1">
      <c r="A934" s="120"/>
      <c r="B934" s="143"/>
      <c r="C934" s="120"/>
      <c r="D934" s="144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 ht="13.5" customHeight="1">
      <c r="A935" s="120"/>
      <c r="B935" s="143"/>
      <c r="C935" s="120"/>
      <c r="D935" s="144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 ht="13.5" customHeight="1">
      <c r="A936" s="120"/>
      <c r="B936" s="143"/>
      <c r="C936" s="120"/>
      <c r="D936" s="144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 ht="13.5" customHeight="1">
      <c r="A937" s="120"/>
      <c r="B937" s="143"/>
      <c r="C937" s="120"/>
      <c r="D937" s="144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 ht="13.5" customHeight="1">
      <c r="A938" s="120"/>
      <c r="B938" s="143"/>
      <c r="C938" s="120"/>
      <c r="D938" s="144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 ht="13.5" customHeight="1">
      <c r="A939" s="120"/>
      <c r="B939" s="143"/>
      <c r="C939" s="120"/>
      <c r="D939" s="144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 ht="13.5" customHeight="1">
      <c r="A940" s="120"/>
      <c r="B940" s="143"/>
      <c r="C940" s="120"/>
      <c r="D940" s="144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 ht="13.5" customHeight="1">
      <c r="A941" s="120"/>
      <c r="B941" s="143"/>
      <c r="C941" s="120"/>
      <c r="D941" s="144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 ht="13.5" customHeight="1">
      <c r="A942" s="120"/>
      <c r="B942" s="143"/>
      <c r="C942" s="120"/>
      <c r="D942" s="144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 ht="13.5" customHeight="1">
      <c r="A943" s="120"/>
      <c r="B943" s="143"/>
      <c r="C943" s="120"/>
      <c r="D943" s="144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 ht="13.5" customHeight="1">
      <c r="A944" s="120"/>
      <c r="B944" s="143"/>
      <c r="C944" s="120"/>
      <c r="D944" s="144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 ht="13.5" customHeight="1">
      <c r="A945" s="120"/>
      <c r="B945" s="143"/>
      <c r="C945" s="120"/>
      <c r="D945" s="144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 ht="13.5" customHeight="1">
      <c r="A946" s="120"/>
      <c r="B946" s="143"/>
      <c r="C946" s="120"/>
      <c r="D946" s="144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 ht="13.5" customHeight="1">
      <c r="A947" s="120"/>
      <c r="B947" s="143"/>
      <c r="C947" s="120"/>
      <c r="D947" s="144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 ht="13.5" customHeight="1">
      <c r="A948" s="120"/>
      <c r="B948" s="143"/>
      <c r="C948" s="120"/>
      <c r="D948" s="144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 ht="13.5" customHeight="1">
      <c r="A949" s="120"/>
      <c r="B949" s="143"/>
      <c r="C949" s="120"/>
      <c r="D949" s="144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 ht="13.5" customHeight="1">
      <c r="A950" s="120"/>
      <c r="B950" s="143"/>
      <c r="C950" s="120"/>
      <c r="D950" s="144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 ht="13.5" customHeight="1">
      <c r="A951" s="120"/>
      <c r="B951" s="143"/>
      <c r="C951" s="120"/>
      <c r="D951" s="144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 ht="13.5" customHeight="1">
      <c r="A952" s="120"/>
      <c r="B952" s="143"/>
      <c r="C952" s="120"/>
      <c r="D952" s="144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 ht="13.5" customHeight="1">
      <c r="A953" s="120"/>
      <c r="B953" s="143"/>
      <c r="C953" s="120"/>
      <c r="D953" s="144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 ht="13.5" customHeight="1">
      <c r="A954" s="120"/>
      <c r="B954" s="143"/>
      <c r="C954" s="120"/>
      <c r="D954" s="144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 ht="13.5" customHeight="1">
      <c r="A955" s="120"/>
      <c r="B955" s="143"/>
      <c r="C955" s="120"/>
      <c r="D955" s="144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 ht="13.5" customHeight="1">
      <c r="A956" s="120"/>
      <c r="B956" s="143"/>
      <c r="C956" s="120"/>
      <c r="D956" s="144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 ht="13.5" customHeight="1">
      <c r="A957" s="120"/>
      <c r="B957" s="143"/>
      <c r="C957" s="120"/>
      <c r="D957" s="144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 ht="13.5" customHeight="1">
      <c r="A958" s="120"/>
      <c r="B958" s="143"/>
      <c r="C958" s="120"/>
      <c r="D958" s="144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 ht="13.5" customHeight="1">
      <c r="A959" s="120"/>
      <c r="B959" s="143"/>
      <c r="C959" s="120"/>
      <c r="D959" s="144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 ht="13.5" customHeight="1">
      <c r="A960" s="120"/>
      <c r="B960" s="143"/>
      <c r="C960" s="120"/>
      <c r="D960" s="144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 ht="13.5" customHeight="1">
      <c r="A961" s="120"/>
      <c r="B961" s="143"/>
      <c r="C961" s="120"/>
      <c r="D961" s="144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 ht="13.5" customHeight="1">
      <c r="A962" s="120"/>
      <c r="B962" s="143"/>
      <c r="C962" s="120"/>
      <c r="D962" s="144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 ht="13.5" customHeight="1">
      <c r="A963" s="120"/>
      <c r="B963" s="143"/>
      <c r="C963" s="120"/>
      <c r="D963" s="144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 ht="13.5" customHeight="1">
      <c r="A964" s="120"/>
      <c r="B964" s="143"/>
      <c r="C964" s="120"/>
      <c r="D964" s="144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 ht="13.5" customHeight="1">
      <c r="A965" s="120"/>
      <c r="B965" s="143"/>
      <c r="C965" s="120"/>
      <c r="D965" s="144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 ht="13.5" customHeight="1">
      <c r="A966" s="120"/>
      <c r="B966" s="143"/>
      <c r="C966" s="120"/>
      <c r="D966" s="144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 ht="13.5" customHeight="1">
      <c r="A967" s="120"/>
      <c r="B967" s="143"/>
      <c r="C967" s="120"/>
      <c r="D967" s="144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 ht="13.5" customHeight="1">
      <c r="A968" s="120"/>
      <c r="B968" s="143"/>
      <c r="C968" s="120"/>
      <c r="D968" s="144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 ht="13.5" customHeight="1">
      <c r="A969" s="120"/>
      <c r="B969" s="143"/>
      <c r="C969" s="120"/>
      <c r="D969" s="144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 ht="13.5" customHeight="1">
      <c r="A970" s="120"/>
      <c r="B970" s="143"/>
      <c r="C970" s="120"/>
      <c r="D970" s="144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 ht="13.5" customHeight="1">
      <c r="A971" s="120"/>
      <c r="B971" s="143"/>
      <c r="C971" s="120"/>
      <c r="D971" s="144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 ht="13.5" customHeight="1">
      <c r="A972" s="120"/>
      <c r="B972" s="143"/>
      <c r="C972" s="120"/>
      <c r="D972" s="144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 ht="13.5" customHeight="1">
      <c r="A973" s="120"/>
      <c r="B973" s="143"/>
      <c r="C973" s="120"/>
      <c r="D973" s="144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 ht="13.5" customHeight="1">
      <c r="A974" s="120"/>
      <c r="B974" s="143"/>
      <c r="C974" s="120"/>
      <c r="D974" s="144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 ht="13.5" customHeight="1">
      <c r="A975" s="120"/>
      <c r="B975" s="143"/>
      <c r="C975" s="120"/>
      <c r="D975" s="144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 ht="13.5" customHeight="1">
      <c r="A976" s="120"/>
      <c r="B976" s="143"/>
      <c r="C976" s="120"/>
      <c r="D976" s="144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 ht="13.5" customHeight="1">
      <c r="A977" s="120"/>
      <c r="B977" s="143"/>
      <c r="C977" s="120"/>
      <c r="D977" s="144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 ht="13.5" customHeight="1">
      <c r="A978" s="120"/>
      <c r="B978" s="143"/>
      <c r="C978" s="120"/>
      <c r="D978" s="144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 ht="13.5" customHeight="1">
      <c r="A979" s="120"/>
      <c r="B979" s="143"/>
      <c r="C979" s="120"/>
      <c r="D979" s="144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 ht="13.5" customHeight="1">
      <c r="A980" s="120"/>
      <c r="B980" s="143"/>
      <c r="C980" s="120"/>
      <c r="D980" s="144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 ht="13.5" customHeight="1">
      <c r="A981" s="120"/>
      <c r="B981" s="143"/>
      <c r="C981" s="120"/>
      <c r="D981" s="144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 ht="13.5" customHeight="1">
      <c r="A982" s="120"/>
      <c r="B982" s="143"/>
      <c r="C982" s="120"/>
      <c r="D982" s="144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 ht="13.5" customHeight="1">
      <c r="A983" s="120"/>
      <c r="B983" s="143"/>
      <c r="C983" s="120"/>
      <c r="D983" s="144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 ht="13.5" customHeight="1">
      <c r="A984" s="120"/>
      <c r="B984" s="143"/>
      <c r="C984" s="120"/>
      <c r="D984" s="144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 ht="13.5" customHeight="1">
      <c r="A985" s="120"/>
      <c r="B985" s="143"/>
      <c r="C985" s="120"/>
      <c r="D985" s="144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 ht="13.5" customHeight="1">
      <c r="A986" s="120"/>
      <c r="B986" s="143"/>
      <c r="C986" s="120"/>
      <c r="D986" s="144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 ht="13.5" customHeight="1">
      <c r="A987" s="120"/>
      <c r="B987" s="143"/>
      <c r="C987" s="120"/>
      <c r="D987" s="144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 ht="13.5" customHeight="1">
      <c r="A988" s="120"/>
      <c r="B988" s="143"/>
      <c r="C988" s="120"/>
      <c r="D988" s="144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 ht="13.5" customHeight="1">
      <c r="A989" s="120"/>
      <c r="B989" s="143"/>
      <c r="C989" s="120"/>
      <c r="D989" s="144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 ht="13.5" customHeight="1">
      <c r="A990" s="120"/>
      <c r="B990" s="143"/>
      <c r="C990" s="120"/>
      <c r="D990" s="144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 ht="13.5" customHeight="1">
      <c r="A991" s="120"/>
      <c r="B991" s="143"/>
      <c r="C991" s="120"/>
      <c r="D991" s="144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  <row r="992" ht="13.5" customHeight="1">
      <c r="A992" s="120"/>
      <c r="B992" s="143"/>
      <c r="C992" s="120"/>
      <c r="D992" s="144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</row>
    <row r="993" ht="13.5" customHeight="1">
      <c r="A993" s="120"/>
      <c r="B993" s="143"/>
      <c r="C993" s="120"/>
      <c r="D993" s="144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</row>
    <row r="994" ht="13.5" customHeight="1">
      <c r="A994" s="120"/>
      <c r="B994" s="143"/>
      <c r="C994" s="120"/>
      <c r="D994" s="144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</row>
    <row r="995" ht="13.5" customHeight="1">
      <c r="A995" s="120"/>
      <c r="B995" s="143"/>
      <c r="C995" s="120"/>
      <c r="D995" s="144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</row>
    <row r="996" ht="13.5" customHeight="1">
      <c r="A996" s="120"/>
      <c r="B996" s="143"/>
      <c r="C996" s="120"/>
      <c r="D996" s="144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</row>
    <row r="997" ht="13.5" customHeight="1">
      <c r="A997" s="120"/>
      <c r="B997" s="143"/>
      <c r="C997" s="120"/>
      <c r="D997" s="144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</row>
    <row r="998" ht="13.5" customHeight="1">
      <c r="A998" s="120"/>
      <c r="B998" s="143"/>
      <c r="C998" s="120"/>
      <c r="D998" s="144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</row>
    <row r="999" ht="13.5" customHeight="1">
      <c r="A999" s="120"/>
      <c r="B999" s="143"/>
      <c r="C999" s="120"/>
      <c r="D999" s="144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</row>
    <row r="1000" ht="13.5" customHeight="1">
      <c r="A1000" s="120"/>
      <c r="B1000" s="143"/>
      <c r="C1000" s="120"/>
      <c r="D1000" s="144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</row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5:D45"/>
    <mergeCell ref="B46:D46"/>
    <mergeCell ref="A5:B5"/>
    <mergeCell ref="C5:E5"/>
    <mergeCell ref="F5:K5"/>
    <mergeCell ref="O5:T5"/>
    <mergeCell ref="D18:E18"/>
    <mergeCell ref="B43:D43"/>
    <mergeCell ref="B44:D44"/>
  </mergeCells>
  <dataValidations>
    <dataValidation type="list" allowBlank="1" showInputMessage="1" showErrorMessage="1" prompt=" - " sqref="F8:T42">
      <formula1>"O"</formula1>
    </dataValidation>
    <dataValidation type="list" allowBlank="1" showInputMessage="1" showErrorMessage="1" prompt=" - " sqref="F43:T43">
      <formula1>"N,A,B"</formula1>
    </dataValidation>
    <dataValidation type="list" allowBlank="1" showInputMessage="1" showErrorMessage="1" prompt=" - " sqref="F44:T44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2007-10-09T09:39:48Z</dcterms:created>
  <dc:creator>Nguyen Hoang Anh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